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nlex\Desktop\Alex\Courses and Skills\Excel\"/>
    </mc:Choice>
  </mc:AlternateContent>
  <bookViews>
    <workbookView xWindow="0" yWindow="0" windowWidth="20490" windowHeight="6855"/>
  </bookViews>
  <sheets>
    <sheet name="Payroll" sheetId="1" r:id="rId1"/>
    <sheet name="Payslip" sheetId="3" r:id="rId2"/>
    <sheet name="Contribution to SHGs" sheetId="2" r:id="rId3"/>
    <sheet name="Parameters" sheetId="4" r:id="rId4"/>
  </sheets>
  <definedNames>
    <definedName name="_xlnm.Print_Area" localSheetId="0">Payroll!$A$1:$AB$38</definedName>
    <definedName name="_xlnm.Print_Area" localSheetId="1">Payslip!$A$1:$G$26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28" i="1"/>
  <c r="B30" i="3" l="1"/>
  <c r="B3" i="4" s="1"/>
  <c r="B4" i="4" l="1"/>
  <c r="B5" i="4" s="1"/>
  <c r="B2" i="4"/>
  <c r="G14" i="3" l="1"/>
  <c r="B12" i="3"/>
  <c r="D6" i="3"/>
  <c r="B6" i="4" l="1"/>
  <c r="B16" i="3"/>
  <c r="K16" i="1" l="1"/>
  <c r="N11" i="1"/>
  <c r="R11" i="1"/>
  <c r="N12" i="1"/>
  <c r="O12" i="1" s="1"/>
  <c r="U12" i="1" s="1"/>
  <c r="R12" i="1"/>
  <c r="N13" i="1"/>
  <c r="O13" i="1" s="1"/>
  <c r="U13" i="1" s="1"/>
  <c r="R13" i="1"/>
  <c r="N14" i="1"/>
  <c r="R14" i="1"/>
  <c r="N15" i="1"/>
  <c r="R15" i="1"/>
  <c r="S11" i="1" l="1"/>
  <c r="S14" i="1"/>
  <c r="S15" i="1"/>
  <c r="S12" i="1"/>
  <c r="O14" i="1"/>
  <c r="U14" i="1" s="1"/>
  <c r="O15" i="1"/>
  <c r="U15" i="1" s="1"/>
  <c r="O11" i="1"/>
  <c r="U11" i="1" s="1"/>
  <c r="B22" i="3" s="1"/>
  <c r="S13" i="1"/>
  <c r="Y16" i="1"/>
  <c r="X16" i="1"/>
  <c r="E21" i="1" s="1"/>
  <c r="Q16" i="1"/>
  <c r="P16" i="1"/>
  <c r="M16" i="1"/>
  <c r="L16" i="1"/>
  <c r="J16" i="1"/>
  <c r="I16" i="1"/>
  <c r="R10" i="1"/>
  <c r="R16" i="1" s="1"/>
  <c r="N10" i="1"/>
  <c r="O10" i="1" s="1"/>
  <c r="U10" i="1" s="1"/>
  <c r="AA14" i="1" l="1"/>
  <c r="T14" i="1"/>
  <c r="Z14" i="1" s="1"/>
  <c r="AA11" i="1"/>
  <c r="B24" i="3" s="1"/>
  <c r="U16" i="1"/>
  <c r="E20" i="1" s="1"/>
  <c r="T11" i="1"/>
  <c r="AA15" i="1"/>
  <c r="T15" i="1"/>
  <c r="V15" i="1" s="1"/>
  <c r="T13" i="1"/>
  <c r="V13" i="1" s="1"/>
  <c r="AA13" i="1"/>
  <c r="AA12" i="1"/>
  <c r="T12" i="1"/>
  <c r="Z12" i="1" s="1"/>
  <c r="V11" i="1"/>
  <c r="AB11" i="1" s="1"/>
  <c r="O16" i="1"/>
  <c r="S10" i="1"/>
  <c r="N16" i="1"/>
  <c r="Z11" i="1" l="1"/>
  <c r="G18" i="3" s="1"/>
  <c r="G12" i="3"/>
  <c r="G16" i="3" s="1"/>
  <c r="V14" i="1"/>
  <c r="AB14" i="1" s="1"/>
  <c r="Z13" i="1"/>
  <c r="Z15" i="1"/>
  <c r="AB15" i="1"/>
  <c r="AB13" i="1"/>
  <c r="AA10" i="1"/>
  <c r="T10" i="1"/>
  <c r="Z10" i="1" s="1"/>
  <c r="V12" i="1"/>
  <c r="AB12" i="1" s="1"/>
  <c r="S16" i="1"/>
  <c r="T16" i="1" l="1"/>
  <c r="E19" i="1" s="1"/>
  <c r="V10" i="1"/>
  <c r="V16" i="1" s="1"/>
  <c r="AA16" i="1"/>
  <c r="E22" i="1" s="1"/>
  <c r="E23" i="1" l="1"/>
  <c r="E25" i="1" s="1"/>
  <c r="Z16" i="1"/>
  <c r="AB10" i="1"/>
  <c r="AB16" i="1"/>
  <c r="B6" i="3"/>
  <c r="B1" i="4" s="1"/>
  <c r="B7" i="3"/>
  <c r="B8" i="3"/>
</calcChain>
</file>

<file path=xl/comments1.xml><?xml version="1.0" encoding="utf-8"?>
<comments xmlns="http://schemas.openxmlformats.org/spreadsheetml/2006/main">
  <authors>
    <author>user</author>
  </authors>
  <commentList>
    <comment ref="S8" authorId="0" shapeId="0">
      <text>
        <r>
          <rPr>
            <b/>
            <sz val="9"/>
            <color indexed="81"/>
            <rFont val="Tahoma"/>
            <family val="2"/>
          </rPr>
          <t>Amount To Calculate CPF</t>
        </r>
      </text>
    </comment>
    <comment ref="T8" authorId="0" shapeId="0">
      <text>
        <r>
          <rPr>
            <b/>
            <sz val="9"/>
            <color indexed="81"/>
            <rFont val="Tahoma"/>
            <family val="2"/>
          </rPr>
          <t>http://www.cpf.gov.sg/cpf_info/Online/Contri.asp?prof=</t>
        </r>
      </text>
    </comment>
  </commentList>
</comments>
</file>

<file path=xl/sharedStrings.xml><?xml version="1.0" encoding="utf-8"?>
<sst xmlns="http://schemas.openxmlformats.org/spreadsheetml/2006/main" count="168" uniqueCount="147">
  <si>
    <t>PAYROLL FOR THE MONTH OF</t>
  </si>
  <si>
    <t>NO.</t>
  </si>
  <si>
    <t>Employee's Name</t>
  </si>
  <si>
    <t>I/C No.</t>
  </si>
  <si>
    <t>D.O.B</t>
  </si>
  <si>
    <t>Date
Of Hire</t>
  </si>
  <si>
    <t>Date
Of
Cesation</t>
  </si>
  <si>
    <t>Salary</t>
  </si>
  <si>
    <t>Ordinary Wages</t>
  </si>
  <si>
    <t>Bonus</t>
  </si>
  <si>
    <t>CPF</t>
  </si>
  <si>
    <t>CPF Contribution</t>
  </si>
  <si>
    <t>Total CPF</t>
  </si>
  <si>
    <t>Donation</t>
  </si>
  <si>
    <t>Deduction
/
Addition</t>
  </si>
  <si>
    <t>SDL (0.25%, max $11.25) / min $2.00 (SGD)</t>
  </si>
  <si>
    <t>TOTAL TO CPF BOARD (SGD)</t>
  </si>
  <si>
    <t>Basic</t>
  </si>
  <si>
    <t>Adjustment</t>
  </si>
  <si>
    <t>Mobile Allowance</t>
  </si>
  <si>
    <t xml:space="preserve">Transport Allowance </t>
  </si>
  <si>
    <t>Incentive</t>
  </si>
  <si>
    <t xml:space="preserve">Total Gross </t>
  </si>
  <si>
    <t>AWS</t>
  </si>
  <si>
    <t>Variable</t>
  </si>
  <si>
    <t>Total (Additional Wages)</t>
  </si>
  <si>
    <t>Employee</t>
  </si>
  <si>
    <t>Employer</t>
  </si>
  <si>
    <t>Agency</t>
  </si>
  <si>
    <t>Amount</t>
  </si>
  <si>
    <t>CDAC</t>
  </si>
  <si>
    <t>TOTAL</t>
  </si>
  <si>
    <t xml:space="preserve">Prepared by: </t>
  </si>
  <si>
    <t xml:space="preserve">Approved by: </t>
  </si>
  <si>
    <t xml:space="preserve"> </t>
  </si>
  <si>
    <t>Remark :</t>
  </si>
  <si>
    <t>ECF</t>
  </si>
  <si>
    <t>MBMF</t>
  </si>
  <si>
    <t>SINDA</t>
  </si>
  <si>
    <t>Michelle Tan</t>
  </si>
  <si>
    <t>Alex Lim</t>
  </si>
  <si>
    <t>via Cheque Payment</t>
  </si>
  <si>
    <t>Monthly Total Wages</t>
  </si>
  <si>
    <t xml:space="preserve">Monthly Contribution </t>
  </si>
  <si>
    <t>(with effect from 1 Jan 2015)</t>
  </si>
  <si>
    <r>
      <t>&lt;</t>
    </r>
    <r>
      <rPr>
        <sz val="11"/>
        <color theme="1"/>
        <rFont val="Calibri"/>
        <family val="2"/>
        <scheme val="minor"/>
      </rPr>
      <t xml:space="preserve"> $2,000</t>
    </r>
  </si>
  <si>
    <t>&gt; $2,000 to $3,500</t>
  </si>
  <si>
    <t>&gt; $3,500 to $5,000</t>
  </si>
  <si>
    <t>&gt; $5,000 to $7,500</t>
  </si>
  <si>
    <t>&gt; $7,500</t>
  </si>
  <si>
    <r>
      <t>&lt;</t>
    </r>
    <r>
      <rPr>
        <sz val="11"/>
        <color theme="1"/>
        <rFont val="Calibri"/>
        <family val="2"/>
        <scheme val="minor"/>
      </rPr>
      <t xml:space="preserve"> $1,000</t>
    </r>
  </si>
  <si>
    <t>&gt; $1,000 to $1,500</t>
  </si>
  <si>
    <t>&gt; $1,500 to $2,500</t>
  </si>
  <si>
    <t>&gt; $2,500 to $4,000</t>
  </si>
  <si>
    <t>&gt; $4,000 to $7,000</t>
  </si>
  <si>
    <t>&gt; $7,000 to $10,000</t>
  </si>
  <si>
    <t>&gt; $10,000</t>
  </si>
  <si>
    <t>​Monthly Contribution</t>
  </si>
  <si>
    <t>(with effect from 1 June 2016)</t>
  </si>
  <si>
    <r>
      <t>&lt;</t>
    </r>
    <r>
      <rPr>
        <sz val="11"/>
        <color theme="1"/>
        <rFont val="Calibri"/>
        <family val="2"/>
        <scheme val="minor"/>
      </rPr>
      <t> $1,000​</t>
    </r>
  </si>
  <si>
    <t>&gt; $1,000 to $2,000</t>
  </si>
  <si>
    <t>&gt; $2,000 to $3,000</t>
  </si>
  <si>
    <t>&gt; $3,000 to $4,000</t>
  </si>
  <si>
    <t>&gt; $4,000 to $6,000</t>
  </si>
  <si>
    <t>$19.50​</t>
  </si>
  <si>
    <t>&gt; $6,000 to $8,000​</t>
  </si>
  <si>
    <t>&gt; $8,000 to $10,000​</t>
  </si>
  <si>
    <t>&gt; $10,000​</t>
  </si>
  <si>
    <t xml:space="preserve">Monthly Total Wages </t>
  </si>
  <si>
    <t>Monthly Contribution</t>
  </si>
  <si>
    <t>&gt; $2,500 to $4,500</t>
  </si>
  <si>
    <t>&gt; $4,500 to $7,500</t>
  </si>
  <si>
    <t>&gt; $7,500 to $10,000</t>
  </si>
  <si>
    <t>&gt; $10,000 to $15,000</t>
  </si>
  <si>
    <t>&gt; $15,000</t>
  </si>
  <si>
    <t>Contributions to Self-Help Groups (SHGs)</t>
  </si>
  <si>
    <t>CPF - Employee Contribution</t>
  </si>
  <si>
    <t>CPF - Employer Contribution</t>
  </si>
  <si>
    <t>CPF - Ethnic Funds Contribution</t>
  </si>
  <si>
    <t xml:space="preserve">CPF - SDL Fund Contribution </t>
  </si>
  <si>
    <t>Total CPF Contribution</t>
  </si>
  <si>
    <t>SDL drop cents</t>
  </si>
  <si>
    <t>Total Nett CPF Amount</t>
  </si>
  <si>
    <t xml:space="preserve">Total Salary (SGD) </t>
  </si>
  <si>
    <t>NET SALARY (cheque payment)</t>
  </si>
  <si>
    <t>Employee ID</t>
  </si>
  <si>
    <t xml:space="preserve">Period </t>
  </si>
  <si>
    <t>Payment Date</t>
  </si>
  <si>
    <t>AA01</t>
  </si>
  <si>
    <t>AA02</t>
  </si>
  <si>
    <t>AA04</t>
  </si>
  <si>
    <t>AA03</t>
  </si>
  <si>
    <t>AA05</t>
  </si>
  <si>
    <t>AA06</t>
  </si>
  <si>
    <t>Designation</t>
  </si>
  <si>
    <t>Managing Director</t>
  </si>
  <si>
    <t>Senior Client Advisor</t>
  </si>
  <si>
    <t>Client Advisor</t>
  </si>
  <si>
    <t>Chief Compliance Officer</t>
  </si>
  <si>
    <t>Operations Manager</t>
  </si>
  <si>
    <t xml:space="preserve">Payslip for the period of </t>
  </si>
  <si>
    <t>Employee Name:</t>
  </si>
  <si>
    <t>NRIC/FIN/Passport No:</t>
  </si>
  <si>
    <t>Hire Date:</t>
  </si>
  <si>
    <t>Employee ID:</t>
  </si>
  <si>
    <t>Desigation:</t>
  </si>
  <si>
    <t>Payment Mode:</t>
  </si>
  <si>
    <t>DEDUCTIONS:</t>
  </si>
  <si>
    <t>EARNINGS:</t>
  </si>
  <si>
    <t>Basic Salary</t>
  </si>
  <si>
    <t>Employee CPF Contribution</t>
  </si>
  <si>
    <t>TOTAL EARNINGS</t>
  </si>
  <si>
    <t>TOTAL DEDUCTIONS</t>
  </si>
  <si>
    <t>NET PAY</t>
  </si>
  <si>
    <t>Central Provident Fund</t>
  </si>
  <si>
    <t>Employer CPF Contribution</t>
  </si>
  <si>
    <t>SDL</t>
  </si>
  <si>
    <t>"This is Computer generated Payslip. Signature not required."</t>
  </si>
  <si>
    <t>Cheque</t>
  </si>
  <si>
    <t>Email Address</t>
  </si>
  <si>
    <t>Name</t>
  </si>
  <si>
    <t>Date</t>
  </si>
  <si>
    <t>Format Date</t>
  </si>
  <si>
    <t>Administrator Email</t>
  </si>
  <si>
    <t>Subject Person Email</t>
  </si>
  <si>
    <t>Number of staff</t>
  </si>
  <si>
    <t>Alex</t>
  </si>
  <si>
    <t>Alvin</t>
  </si>
  <si>
    <t>Ben</t>
  </si>
  <si>
    <t>Carol</t>
  </si>
  <si>
    <t>Damian</t>
  </si>
  <si>
    <t>Esther</t>
  </si>
  <si>
    <t>Fiona</t>
  </si>
  <si>
    <t>alex@companyabc.com.sg</t>
  </si>
  <si>
    <t>ben@companyabc.com.sg</t>
  </si>
  <si>
    <t>carol@companyabc.com.sg</t>
  </si>
  <si>
    <t>damian@companyabc.com.sg</t>
  </si>
  <si>
    <t>esther@companyabc.com.sg</t>
  </si>
  <si>
    <t>fiona@companyabc.com.sg</t>
  </si>
  <si>
    <t>S1111111Z</t>
  </si>
  <si>
    <t>S1111112Z</t>
  </si>
  <si>
    <t>S1111113Z</t>
  </si>
  <si>
    <t>S1111114Z</t>
  </si>
  <si>
    <t>S1111115Z</t>
  </si>
  <si>
    <t>S1111116Z</t>
  </si>
  <si>
    <t>Admin Email Signature Name</t>
  </si>
  <si>
    <t>COMPANY ABC PTE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</si>
</sst>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$-14809]dd/mm/yyyy;@"/>
    <numFmt numFmtId="165" formatCode="[$-14809]d\ mmmm\,\ yyyy;@"/>
    <numFmt numFmtId="166" formatCode="&quot;$&quot;#,##0.00"/>
    <numFmt numFmtId="167" formatCode="[$-409]mmm\-yy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0"/>
      <color rgb="FFFF0000"/>
      <name val="Calibri"/>
      <family val="2"/>
    </font>
    <font>
      <sz val="10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 tint="0.24994659260841701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0"/>
      <color theme="1" tint="0.24994659260841701"/>
      <name val="Calibri Light"/>
      <family val="2"/>
      <scheme val="major"/>
    </font>
    <font>
      <sz val="10"/>
      <color theme="1" tint="0.14993743705557422"/>
      <name val="Calibri Light"/>
      <family val="2"/>
      <scheme val="major"/>
    </font>
    <font>
      <sz val="22"/>
      <color theme="3" tint="-0.24994659260841701"/>
      <name val="Calibri Light"/>
      <family val="2"/>
      <scheme val="major"/>
    </font>
    <font>
      <b/>
      <sz val="20"/>
      <color theme="1"/>
      <name val="Times New Roman"/>
      <family val="1"/>
    </font>
    <font>
      <b/>
      <sz val="10"/>
      <color rgb="FF211E1E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 tint="0.14999847407452621"/>
      <name val="Calibri"/>
      <family val="2"/>
    </font>
    <font>
      <b/>
      <sz val="12"/>
      <color indexed="8"/>
      <name val="Calibri"/>
      <family val="2"/>
    </font>
    <font>
      <b/>
      <sz val="12"/>
      <name val="Calibri"/>
      <family val="2"/>
    </font>
    <font>
      <b/>
      <sz val="12"/>
      <color indexed="10"/>
      <name val="Calibri"/>
      <family val="2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indexed="12"/>
      <name val="Calibri"/>
      <family val="2"/>
    </font>
    <font>
      <sz val="12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0" fontId="7" fillId="0" borderId="0"/>
    <xf numFmtId="0" fontId="11" fillId="0" borderId="0">
      <alignment vertical="center"/>
    </xf>
    <xf numFmtId="0" fontId="12" fillId="0" borderId="0" applyNumberFormat="0" applyFill="0" applyProtection="0">
      <alignment vertical="center"/>
    </xf>
    <xf numFmtId="0" fontId="13" fillId="0" borderId="46" applyNumberFormat="0" applyFill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5" fillId="0" borderId="0" applyNumberFormat="0" applyFill="0" applyAlignment="0" applyProtection="0"/>
    <xf numFmtId="0" fontId="20" fillId="0" borderId="0" applyNumberFormat="0" applyFill="0" applyBorder="0" applyAlignment="0" applyProtection="0"/>
  </cellStyleXfs>
  <cellXfs count="181">
    <xf numFmtId="0" fontId="0" fillId="0" borderId="0" xfId="0"/>
    <xf numFmtId="0" fontId="2" fillId="0" borderId="0" xfId="0" applyFont="1" applyFill="1"/>
    <xf numFmtId="0" fontId="3" fillId="0" borderId="0" xfId="0" applyFont="1" applyFill="1"/>
    <xf numFmtId="17" fontId="3" fillId="0" borderId="0" xfId="0" applyNumberFormat="1" applyFont="1" applyFill="1" applyAlignment="1">
      <alignment horizontal="center"/>
    </xf>
    <xf numFmtId="0" fontId="3" fillId="0" borderId="0" xfId="0" applyFont="1"/>
    <xf numFmtId="0" fontId="3" fillId="0" borderId="0" xfId="0" applyFont="1" applyAlignme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Border="1" applyAlignment="1"/>
    <xf numFmtId="0" fontId="3" fillId="0" borderId="0" xfId="0" applyFont="1" applyBorder="1"/>
    <xf numFmtId="0" fontId="4" fillId="0" borderId="0" xfId="0" applyFont="1" applyBorder="1"/>
    <xf numFmtId="1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Fill="1" applyAlignment="1">
      <alignment vertical="top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44" fontId="4" fillId="0" borderId="0" xfId="0" applyNumberFormat="1" applyFont="1" applyBorder="1"/>
    <xf numFmtId="1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44" fontId="4" fillId="0" borderId="0" xfId="0" applyNumberFormat="1" applyFont="1"/>
    <xf numFmtId="0" fontId="4" fillId="0" borderId="44" xfId="0" applyFont="1" applyBorder="1" applyAlignment="1">
      <alignment horizontal="left"/>
    </xf>
    <xf numFmtId="0" fontId="4" fillId="0" borderId="44" xfId="0" applyFont="1" applyFill="1" applyBorder="1"/>
    <xf numFmtId="0" fontId="4" fillId="0" borderId="44" xfId="0" applyFont="1" applyBorder="1"/>
    <xf numFmtId="0" fontId="4" fillId="0" borderId="44" xfId="0" applyFont="1" applyBorder="1" applyAlignment="1">
      <alignment horizontal="right"/>
    </xf>
    <xf numFmtId="0" fontId="5" fillId="0" borderId="0" xfId="0" applyFont="1"/>
    <xf numFmtId="17" fontId="5" fillId="0" borderId="0" xfId="0" applyNumberFormat="1" applyFont="1" applyAlignment="1">
      <alignment horizontal="center"/>
    </xf>
    <xf numFmtId="0" fontId="5" fillId="0" borderId="0" xfId="0" quotePrefix="1" applyFont="1"/>
    <xf numFmtId="8" fontId="5" fillId="0" borderId="0" xfId="0" applyNumberFormat="1" applyFont="1" applyAlignment="1">
      <alignment horizontal="center"/>
    </xf>
    <xf numFmtId="0" fontId="3" fillId="0" borderId="0" xfId="0" quotePrefix="1" applyFont="1"/>
    <xf numFmtId="6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9" fillId="4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0" fillId="0" borderId="0" xfId="0" applyFont="1" applyFill="1" applyAlignment="1">
      <alignment vertical="center" wrapText="1"/>
    </xf>
    <xf numFmtId="6" fontId="0" fillId="0" borderId="0" xfId="0" applyNumberForma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Border="1" applyAlignment="1">
      <alignment horizontal="left"/>
    </xf>
    <xf numFmtId="44" fontId="3" fillId="0" borderId="0" xfId="0" applyNumberFormat="1" applyFont="1" applyBorder="1" applyAlignment="1"/>
    <xf numFmtId="44" fontId="4" fillId="0" borderId="0" xfId="0" applyNumberFormat="1" applyFont="1" applyBorder="1" applyAlignment="1"/>
    <xf numFmtId="0" fontId="3" fillId="0" borderId="0" xfId="0" applyFont="1" applyBorder="1" applyAlignment="1"/>
    <xf numFmtId="15" fontId="3" fillId="0" borderId="0" xfId="0" applyNumberFormat="1" applyFont="1" applyBorder="1" applyAlignment="1">
      <alignment horizontal="left"/>
    </xf>
    <xf numFmtId="0" fontId="17" fillId="0" borderId="0" xfId="0" applyFont="1"/>
    <xf numFmtId="1" fontId="3" fillId="0" borderId="0" xfId="0" applyNumberFormat="1" applyFont="1" applyAlignment="1">
      <alignment horizontal="center"/>
    </xf>
    <xf numFmtId="0" fontId="19" fillId="0" borderId="0" xfId="0" applyFont="1"/>
    <xf numFmtId="0" fontId="18" fillId="0" borderId="0" xfId="0" applyFont="1"/>
    <xf numFmtId="0" fontId="22" fillId="0" borderId="0" xfId="0" applyFont="1"/>
    <xf numFmtId="165" fontId="22" fillId="0" borderId="0" xfId="0" applyNumberFormat="1" applyFont="1" applyAlignment="1">
      <alignment horizontal="left"/>
    </xf>
    <xf numFmtId="0" fontId="23" fillId="0" borderId="48" xfId="0" applyFont="1" applyBorder="1"/>
    <xf numFmtId="0" fontId="22" fillId="0" borderId="49" xfId="0" applyFont="1" applyBorder="1"/>
    <xf numFmtId="0" fontId="22" fillId="0" borderId="45" xfId="0" applyFont="1" applyBorder="1"/>
    <xf numFmtId="0" fontId="22" fillId="0" borderId="50" xfId="0" applyFont="1" applyBorder="1"/>
    <xf numFmtId="166" fontId="22" fillId="0" borderId="51" xfId="0" applyNumberFormat="1" applyFont="1" applyBorder="1"/>
    <xf numFmtId="0" fontId="22" fillId="0" borderId="0" xfId="0" applyFont="1" applyBorder="1"/>
    <xf numFmtId="0" fontId="23" fillId="0" borderId="50" xfId="0" applyFont="1" applyBorder="1"/>
    <xf numFmtId="0" fontId="22" fillId="0" borderId="52" xfId="0" applyFont="1" applyBorder="1"/>
    <xf numFmtId="166" fontId="22" fillId="0" borderId="53" xfId="0" applyNumberFormat="1" applyFont="1" applyBorder="1"/>
    <xf numFmtId="0" fontId="22" fillId="0" borderId="44" xfId="0" applyFont="1" applyBorder="1"/>
    <xf numFmtId="0" fontId="23" fillId="0" borderId="27" xfId="0" applyFont="1" applyBorder="1"/>
    <xf numFmtId="166" fontId="22" fillId="0" borderId="47" xfId="0" applyNumberFormat="1" applyFont="1" applyBorder="1"/>
    <xf numFmtId="0" fontId="22" fillId="0" borderId="47" xfId="0" applyFont="1" applyBorder="1"/>
    <xf numFmtId="166" fontId="23" fillId="0" borderId="26" xfId="0" applyNumberFormat="1" applyFont="1" applyBorder="1"/>
    <xf numFmtId="166" fontId="22" fillId="0" borderId="0" xfId="0" applyNumberFormat="1" applyFont="1"/>
    <xf numFmtId="0" fontId="23" fillId="0" borderId="0" xfId="0" applyFont="1"/>
    <xf numFmtId="0" fontId="22" fillId="0" borderId="51" xfId="0" applyFont="1" applyBorder="1"/>
    <xf numFmtId="0" fontId="25" fillId="0" borderId="3" xfId="0" applyFont="1" applyBorder="1" applyAlignment="1">
      <alignment horizontal="center"/>
    </xf>
    <xf numFmtId="0" fontId="26" fillId="0" borderId="5" xfId="0" applyFont="1" applyBorder="1" applyAlignment="1">
      <alignment horizontal="center" wrapText="1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 wrapText="1"/>
    </xf>
    <xf numFmtId="0" fontId="25" fillId="0" borderId="19" xfId="0" applyFont="1" applyBorder="1" applyAlignment="1">
      <alignment wrapText="1"/>
    </xf>
    <xf numFmtId="0" fontId="25" fillId="0" borderId="20" xfId="0" applyFont="1" applyBorder="1" applyAlignment="1">
      <alignment horizontal="center" wrapText="1"/>
    </xf>
    <xf numFmtId="0" fontId="25" fillId="0" borderId="21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2" borderId="17" xfId="0" applyFont="1" applyFill="1" applyBorder="1" applyAlignment="1">
      <alignment horizontal="center" wrapText="1"/>
    </xf>
    <xf numFmtId="0" fontId="25" fillId="0" borderId="13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6" fillId="0" borderId="18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23" xfId="0" applyFont="1" applyBorder="1" applyAlignment="1">
      <alignment horizontal="center" wrapText="1"/>
    </xf>
    <xf numFmtId="0" fontId="26" fillId="0" borderId="24" xfId="0" applyFont="1" applyFill="1" applyBorder="1" applyAlignment="1">
      <alignment horizontal="center" vertical="top"/>
    </xf>
    <xf numFmtId="17" fontId="28" fillId="0" borderId="25" xfId="0" applyNumberFormat="1" applyFont="1" applyFill="1" applyBorder="1" applyAlignment="1">
      <alignment horizontal="left" vertical="top"/>
    </xf>
    <xf numFmtId="0" fontId="29" fillId="0" borderId="26" xfId="2" applyFont="1" applyFill="1" applyBorder="1" applyAlignment="1">
      <alignment horizontal="left" vertical="center" wrapText="1"/>
    </xf>
    <xf numFmtId="0" fontId="29" fillId="0" borderId="47" xfId="2" applyFont="1" applyFill="1" applyBorder="1" applyAlignment="1">
      <alignment horizontal="left" vertical="center" wrapText="1"/>
    </xf>
    <xf numFmtId="0" fontId="28" fillId="0" borderId="27" xfId="0" applyFont="1" applyFill="1" applyBorder="1" applyAlignment="1">
      <alignment vertical="top" wrapText="1"/>
    </xf>
    <xf numFmtId="164" fontId="28" fillId="0" borderId="28" xfId="0" applyNumberFormat="1" applyFont="1" applyFill="1" applyBorder="1" applyAlignment="1">
      <alignment horizontal="center" vertical="top"/>
    </xf>
    <xf numFmtId="15" fontId="28" fillId="0" borderId="29" xfId="0" applyNumberFormat="1" applyFont="1" applyFill="1" applyBorder="1" applyAlignment="1">
      <alignment horizontal="center" vertical="top"/>
    </xf>
    <xf numFmtId="15" fontId="28" fillId="0" borderId="30" xfId="0" applyNumberFormat="1" applyFont="1" applyFill="1" applyBorder="1" applyAlignment="1">
      <alignment horizontal="center" vertical="top"/>
    </xf>
    <xf numFmtId="44" fontId="28" fillId="0" borderId="26" xfId="1" applyFont="1" applyFill="1" applyBorder="1" applyAlignment="1">
      <alignment vertical="top"/>
    </xf>
    <xf numFmtId="44" fontId="28" fillId="0" borderId="31" xfId="1" applyFont="1" applyFill="1" applyBorder="1" applyAlignment="1">
      <alignment vertical="top"/>
    </xf>
    <xf numFmtId="44" fontId="28" fillId="0" borderId="28" xfId="1" applyFont="1" applyFill="1" applyBorder="1" applyAlignment="1">
      <alignment vertical="top"/>
    </xf>
    <xf numFmtId="44" fontId="28" fillId="0" borderId="32" xfId="1" applyFont="1" applyFill="1" applyBorder="1" applyAlignment="1">
      <alignment vertical="top"/>
    </xf>
    <xf numFmtId="44" fontId="28" fillId="0" borderId="24" xfId="1" applyFont="1" applyFill="1" applyBorder="1" applyAlignment="1">
      <alignment vertical="top"/>
    </xf>
    <xf numFmtId="44" fontId="26" fillId="0" borderId="28" xfId="1" applyFont="1" applyFill="1" applyBorder="1" applyAlignment="1">
      <alignment vertical="top"/>
    </xf>
    <xf numFmtId="44" fontId="26" fillId="0" borderId="32" xfId="1" applyFont="1" applyFill="1" applyBorder="1" applyAlignment="1">
      <alignment vertical="top"/>
    </xf>
    <xf numFmtId="44" fontId="28" fillId="0" borderId="24" xfId="1" applyFont="1" applyFill="1" applyBorder="1" applyAlignment="1">
      <alignment horizontal="center" vertical="top"/>
    </xf>
    <xf numFmtId="44" fontId="28" fillId="0" borderId="33" xfId="1" applyFont="1" applyFill="1" applyBorder="1" applyAlignment="1">
      <alignment vertical="top"/>
    </xf>
    <xf numFmtId="0" fontId="19" fillId="0" borderId="26" xfId="2" applyFont="1" applyFill="1" applyBorder="1" applyAlignment="1">
      <alignment horizontal="left" vertical="center" wrapText="1"/>
    </xf>
    <xf numFmtId="0" fontId="19" fillId="0" borderId="47" xfId="2" applyFont="1" applyFill="1" applyBorder="1" applyAlignment="1">
      <alignment horizontal="left" vertical="center" wrapText="1"/>
    </xf>
    <xf numFmtId="15" fontId="31" fillId="0" borderId="34" xfId="0" applyNumberFormat="1" applyFont="1" applyFill="1" applyBorder="1" applyAlignment="1">
      <alignment horizontal="center" vertical="top"/>
    </xf>
    <xf numFmtId="17" fontId="28" fillId="0" borderId="33" xfId="0" applyNumberFormat="1" applyFont="1" applyFill="1" applyBorder="1" applyAlignment="1">
      <alignment vertical="top"/>
    </xf>
    <xf numFmtId="0" fontId="30" fillId="0" borderId="26" xfId="0" applyFont="1" applyBorder="1" applyAlignment="1">
      <alignment wrapText="1"/>
    </xf>
    <xf numFmtId="0" fontId="30" fillId="0" borderId="47" xfId="0" applyFont="1" applyBorder="1" applyAlignment="1">
      <alignment wrapText="1"/>
    </xf>
    <xf numFmtId="15" fontId="32" fillId="0" borderId="35" xfId="0" applyNumberFormat="1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25" fillId="0" borderId="19" xfId="0" applyFont="1" applyBorder="1" applyAlignment="1">
      <alignment horizontal="right"/>
    </xf>
    <xf numFmtId="0" fontId="25" fillId="0" borderId="37" xfId="0" applyFont="1" applyBorder="1" applyAlignment="1">
      <alignment horizontal="center"/>
    </xf>
    <xf numFmtId="0" fontId="25" fillId="0" borderId="38" xfId="0" applyFont="1" applyBorder="1" applyAlignment="1">
      <alignment horizontal="right"/>
    </xf>
    <xf numFmtId="44" fontId="25" fillId="0" borderId="39" xfId="0" applyNumberFormat="1" applyFont="1" applyBorder="1"/>
    <xf numFmtId="44" fontId="25" fillId="0" borderId="40" xfId="0" applyNumberFormat="1" applyFont="1" applyBorder="1"/>
    <xf numFmtId="44" fontId="25" fillId="2" borderId="41" xfId="0" applyNumberFormat="1" applyFont="1" applyFill="1" applyBorder="1"/>
    <xf numFmtId="44" fontId="25" fillId="0" borderId="41" xfId="0" applyNumberFormat="1" applyFont="1" applyFill="1" applyBorder="1"/>
    <xf numFmtId="44" fontId="25" fillId="0" borderId="39" xfId="0" applyNumberFormat="1" applyFont="1" applyFill="1" applyBorder="1"/>
    <xf numFmtId="44" fontId="25" fillId="0" borderId="40" xfId="0" applyNumberFormat="1" applyFont="1" applyFill="1" applyBorder="1"/>
    <xf numFmtId="44" fontId="25" fillId="0" borderId="42" xfId="0" applyNumberFormat="1" applyFont="1" applyFill="1" applyBorder="1"/>
    <xf numFmtId="44" fontId="25" fillId="3" borderId="41" xfId="0" applyNumberFormat="1" applyFont="1" applyFill="1" applyBorder="1"/>
    <xf numFmtId="44" fontId="25" fillId="3" borderId="39" xfId="0" applyNumberFormat="1" applyFont="1" applyFill="1" applyBorder="1"/>
    <xf numFmtId="44" fontId="25" fillId="3" borderId="40" xfId="0" applyNumberFormat="1" applyFont="1" applyFill="1" applyBorder="1"/>
    <xf numFmtId="44" fontId="25" fillId="3" borderId="42" xfId="0" applyNumberFormat="1" applyFont="1" applyFill="1" applyBorder="1"/>
    <xf numFmtId="44" fontId="33" fillId="0" borderId="39" xfId="0" applyNumberFormat="1" applyFont="1" applyBorder="1" applyAlignment="1">
      <alignment horizontal="center"/>
    </xf>
    <xf numFmtId="44" fontId="25" fillId="0" borderId="38" xfId="0" applyNumberFormat="1" applyFont="1" applyBorder="1"/>
    <xf numFmtId="44" fontId="25" fillId="0" borderId="42" xfId="0" applyNumberFormat="1" applyFont="1" applyBorder="1"/>
    <xf numFmtId="44" fontId="25" fillId="0" borderId="41" xfId="0" applyNumberFormat="1" applyFont="1" applyBorder="1"/>
    <xf numFmtId="44" fontId="25" fillId="5" borderId="43" xfId="0" applyNumberFormat="1" applyFont="1" applyFill="1" applyBorder="1"/>
    <xf numFmtId="0" fontId="33" fillId="0" borderId="0" xfId="0" applyFont="1" applyFill="1"/>
    <xf numFmtId="167" fontId="24" fillId="0" borderId="0" xfId="0" applyNumberFormat="1" applyFont="1" applyAlignment="1">
      <alignment horizontal="left"/>
    </xf>
    <xf numFmtId="0" fontId="20" fillId="0" borderId="0" xfId="8" applyFill="1" applyAlignment="1">
      <alignment vertical="top"/>
    </xf>
    <xf numFmtId="0" fontId="0" fillId="0" borderId="0" xfId="0" applyAlignment="1">
      <alignment horizontal="left"/>
    </xf>
    <xf numFmtId="17" fontId="0" fillId="0" borderId="0" xfId="0" applyNumberFormat="1" applyAlignment="1">
      <alignment horizontal="left"/>
    </xf>
    <xf numFmtId="0" fontId="20" fillId="0" borderId="0" xfId="8" applyAlignment="1">
      <alignment horizontal="left"/>
    </xf>
    <xf numFmtId="0" fontId="27" fillId="0" borderId="8" xfId="0" applyFont="1" applyBorder="1" applyAlignment="1">
      <alignment horizontal="center" wrapText="1"/>
    </xf>
    <xf numFmtId="0" fontId="27" fillId="0" borderId="22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17" fontId="25" fillId="0" borderId="1" xfId="0" applyNumberFormat="1" applyFont="1" applyBorder="1" applyAlignment="1">
      <alignment horizontal="center" wrapText="1"/>
    </xf>
    <xf numFmtId="17" fontId="25" fillId="0" borderId="13" xfId="0" applyNumberFormat="1" applyFont="1" applyBorder="1" applyAlignment="1">
      <alignment horizontal="center" wrapText="1"/>
    </xf>
    <xf numFmtId="17" fontId="25" fillId="0" borderId="5" xfId="0" applyNumberFormat="1" applyFont="1" applyBorder="1" applyAlignment="1">
      <alignment horizontal="center" wrapText="1"/>
    </xf>
    <xf numFmtId="17" fontId="25" fillId="0" borderId="17" xfId="0" applyNumberFormat="1" applyFont="1" applyBorder="1" applyAlignment="1">
      <alignment horizontal="center" wrapText="1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0" fontId="26" fillId="0" borderId="8" xfId="0" applyFont="1" applyBorder="1" applyAlignment="1">
      <alignment horizontal="center" wrapText="1"/>
    </xf>
    <xf numFmtId="0" fontId="26" fillId="0" borderId="22" xfId="0" applyFont="1" applyBorder="1" applyAlignment="1">
      <alignment horizontal="center" wrapText="1"/>
    </xf>
    <xf numFmtId="0" fontId="26" fillId="0" borderId="9" xfId="0" applyFont="1" applyBorder="1" applyAlignment="1">
      <alignment horizontal="center" wrapText="1"/>
    </xf>
    <xf numFmtId="0" fontId="26" fillId="0" borderId="10" xfId="0" applyFont="1" applyBorder="1" applyAlignment="1">
      <alignment horizontal="center" wrapText="1"/>
    </xf>
    <xf numFmtId="0" fontId="25" fillId="0" borderId="55" xfId="0" applyFont="1" applyFill="1" applyBorder="1" applyAlignment="1">
      <alignment horizontal="center"/>
    </xf>
    <xf numFmtId="0" fontId="19" fillId="0" borderId="56" xfId="0" applyFont="1" applyBorder="1" applyAlignment="1">
      <alignment horizontal="center"/>
    </xf>
    <xf numFmtId="0" fontId="9" fillId="0" borderId="0" xfId="0" applyFont="1" applyFill="1" applyAlignment="1">
      <alignment vertical="center" wrapText="1"/>
    </xf>
    <xf numFmtId="0" fontId="4" fillId="0" borderId="0" xfId="0" applyFont="1" applyAlignment="1">
      <alignment horizontal="left"/>
    </xf>
    <xf numFmtId="0" fontId="25" fillId="0" borderId="1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25" fillId="0" borderId="2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17" fontId="25" fillId="0" borderId="5" xfId="0" applyNumberFormat="1" applyFont="1" applyBorder="1" applyAlignment="1">
      <alignment horizontal="center"/>
    </xf>
    <xf numFmtId="17" fontId="25" fillId="0" borderId="17" xfId="0" applyNumberFormat="1" applyFont="1" applyBorder="1" applyAlignment="1">
      <alignment horizontal="center"/>
    </xf>
    <xf numFmtId="0" fontId="25" fillId="0" borderId="11" xfId="0" applyFont="1" applyBorder="1" applyAlignment="1">
      <alignment horizontal="center" wrapText="1"/>
    </xf>
    <xf numFmtId="0" fontId="25" fillId="0" borderId="54" xfId="0" applyFont="1" applyBorder="1" applyAlignment="1">
      <alignment horizontal="center" wrapText="1"/>
    </xf>
    <xf numFmtId="0" fontId="25" fillId="0" borderId="36" xfId="0" applyFont="1" applyBorder="1" applyAlignment="1">
      <alignment horizontal="left"/>
    </xf>
    <xf numFmtId="0" fontId="25" fillId="0" borderId="19" xfId="0" applyFont="1" applyBorder="1" applyAlignment="1">
      <alignment horizontal="left"/>
    </xf>
    <xf numFmtId="0" fontId="4" fillId="0" borderId="45" xfId="0" applyFont="1" applyBorder="1" applyAlignment="1">
      <alignment horizontal="left"/>
    </xf>
    <xf numFmtId="0" fontId="25" fillId="0" borderId="5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8" xfId="0" applyFont="1" applyBorder="1" applyAlignment="1">
      <alignment horizontal="center" wrapText="1"/>
    </xf>
    <xf numFmtId="0" fontId="25" fillId="0" borderId="22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9" fillId="4" borderId="0" xfId="0" applyFont="1" applyFill="1" applyAlignment="1">
      <alignment horizontal="center" vertical="center" wrapText="1"/>
    </xf>
  </cellXfs>
  <cellStyles count="9">
    <cellStyle name="Currency" xfId="1" builtinId="4"/>
    <cellStyle name="Heading 1 2" xfId="7"/>
    <cellStyle name="Heading 2 2" xfId="4"/>
    <cellStyle name="Heading 3 2" xfId="5"/>
    <cellStyle name="Heading 4 2" xfId="6"/>
    <cellStyle name="Hyperlink" xfId="8" builtinId="8"/>
    <cellStyle name="Normal" xfId="0" builtinId="0"/>
    <cellStyle name="Normal 2" xfId="3"/>
    <cellStyle name="Normal 2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777875</xdr:colOff>
      <xdr:row>4</xdr:row>
      <xdr:rowOff>64434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78000" cy="6994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85725</xdr:rowOff>
        </xdr:from>
        <xdr:to>
          <xdr:col>10</xdr:col>
          <xdr:colOff>133350</xdr:colOff>
          <xdr:row>5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F75D69AC-65B6-4986-8734-57D521F1D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7</xdr:row>
          <xdr:rowOff>161925</xdr:rowOff>
        </xdr:from>
        <xdr:to>
          <xdr:col>10</xdr:col>
          <xdr:colOff>123825</xdr:colOff>
          <xdr:row>9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11</xdr:row>
          <xdr:rowOff>28575</xdr:rowOff>
        </xdr:from>
        <xdr:to>
          <xdr:col>10</xdr:col>
          <xdr:colOff>95250</xdr:colOff>
          <xdr:row>13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Individual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12700</xdr:rowOff>
    </xdr:from>
    <xdr:to>
      <xdr:col>0</xdr:col>
      <xdr:colOff>1904762</xdr:colOff>
      <xdr:row>2</xdr:row>
      <xdr:rowOff>139700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00"/>
          <a:ext cx="1904762" cy="749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ben@companyabc.com.sg" TargetMode="External"/><Relationship Id="rId7" Type="http://schemas.openxmlformats.org/officeDocument/2006/relationships/hyperlink" Target="mailto:fiona@companyabc.com.sg" TargetMode="External"/><Relationship Id="rId2" Type="http://schemas.openxmlformats.org/officeDocument/2006/relationships/hyperlink" Target="mailto:alex@companyabc.com.sg" TargetMode="External"/><Relationship Id="rId1" Type="http://schemas.openxmlformats.org/officeDocument/2006/relationships/hyperlink" Target="mailto:alex@companyabc.com.sg" TargetMode="External"/><Relationship Id="rId6" Type="http://schemas.openxmlformats.org/officeDocument/2006/relationships/hyperlink" Target="mailto:esther@companyabc.com.sg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damian@companyabc.com.sg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carol@companyabc.com.sg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lex@companyabc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54"/>
  <sheetViews>
    <sheetView tabSelected="1" view="pageBreakPreview" zoomScale="60" zoomScaleNormal="75" workbookViewId="0">
      <selection activeCell="I23" sqref="I23"/>
    </sheetView>
  </sheetViews>
  <sheetFormatPr defaultColWidth="9.140625" defaultRowHeight="12.75" outlineLevelRow="1" outlineLevelCol="1" x14ac:dyDescent="0.2"/>
  <cols>
    <col min="1" max="1" width="4" style="6" bestFit="1" customWidth="1"/>
    <col min="2" max="2" width="11" style="2" bestFit="1" customWidth="1" outlineLevel="1"/>
    <col min="3" max="3" width="26" style="4" bestFit="1" customWidth="1"/>
    <col min="4" max="4" width="21.28515625" style="4" customWidth="1"/>
    <col min="5" max="5" width="16" style="4" bestFit="1" customWidth="1"/>
    <col min="6" max="6" width="14" style="14" bestFit="1" customWidth="1"/>
    <col min="7" max="7" width="24.140625" style="14" customWidth="1"/>
    <col min="8" max="8" width="11.7109375" style="14" hidden="1" customWidth="1" outlineLevel="1"/>
    <col min="9" max="9" width="19" style="4" bestFit="1" customWidth="1" collapsed="1"/>
    <col min="10" max="10" width="19.7109375" style="5" customWidth="1"/>
    <col min="11" max="11" width="11.85546875" style="4" bestFit="1" customWidth="1" outlineLevel="1"/>
    <col min="12" max="12" width="9.7109375" style="4" hidden="1" customWidth="1" outlineLevel="1"/>
    <col min="13" max="13" width="15.42578125" style="4" hidden="1" customWidth="1" outlineLevel="1"/>
    <col min="14" max="14" width="19" style="4" bestFit="1" customWidth="1" collapsed="1"/>
    <col min="15" max="15" width="25" style="4" customWidth="1"/>
    <col min="16" max="16" width="11.7109375" style="4" hidden="1" customWidth="1" outlineLevel="1"/>
    <col min="17" max="17" width="10.140625" style="4" hidden="1" customWidth="1" outlineLevel="1"/>
    <col min="18" max="18" width="10" style="6" hidden="1" customWidth="1" outlineLevel="1"/>
    <col min="19" max="19" width="19" style="6" bestFit="1" customWidth="1" collapsed="1"/>
    <col min="20" max="21" width="17.7109375" style="4" bestFit="1" customWidth="1"/>
    <col min="22" max="22" width="18.42578125" style="6" bestFit="1" customWidth="1"/>
    <col min="23" max="23" width="10.5703125" style="7" bestFit="1" customWidth="1"/>
    <col min="24" max="24" width="12.28515625" style="4" bestFit="1" customWidth="1"/>
    <col min="25" max="25" width="5.7109375" style="4" hidden="1" customWidth="1" outlineLevel="1"/>
    <col min="26" max="26" width="19.42578125" style="4" bestFit="1" customWidth="1" collapsed="1"/>
    <col min="27" max="27" width="17.5703125" style="4" bestFit="1" customWidth="1"/>
    <col min="28" max="28" width="12.7109375" style="6" bestFit="1" customWidth="1"/>
    <col min="29" max="29" width="42.85546875" style="2" bestFit="1" customWidth="1" collapsed="1"/>
    <col min="30" max="30" width="11.140625" style="2" bestFit="1" customWidth="1"/>
    <col min="31" max="31" width="1.85546875" style="2" bestFit="1" customWidth="1"/>
    <col min="32" max="32" width="4.5703125" style="2" bestFit="1" customWidth="1"/>
    <col min="33" max="33" width="1.85546875" style="2" bestFit="1" customWidth="1"/>
    <col min="34" max="16384" width="9.140625" style="2"/>
  </cols>
  <sheetData>
    <row r="1" spans="1:30" x14ac:dyDescent="0.2">
      <c r="A1" s="1"/>
      <c r="C1" s="2"/>
      <c r="D1" s="2"/>
      <c r="E1" s="2"/>
      <c r="F1" s="3"/>
      <c r="G1" s="3"/>
      <c r="H1" s="3"/>
    </row>
    <row r="2" spans="1:30" x14ac:dyDescent="0.2">
      <c r="A2" s="1"/>
      <c r="C2" s="2"/>
      <c r="D2" s="2"/>
      <c r="E2" s="8"/>
      <c r="F2" s="3"/>
      <c r="G2" s="3"/>
      <c r="H2" s="3"/>
    </row>
    <row r="3" spans="1:30" x14ac:dyDescent="0.2">
      <c r="A3" s="8"/>
      <c r="C3" s="2"/>
      <c r="D3" s="2"/>
      <c r="E3" s="2"/>
      <c r="F3" s="3"/>
      <c r="G3" s="3"/>
      <c r="H3" s="3"/>
    </row>
    <row r="4" spans="1:30" x14ac:dyDescent="0.2">
      <c r="A4" s="8"/>
      <c r="C4" s="2"/>
      <c r="D4" s="2"/>
      <c r="E4" s="2"/>
      <c r="F4" s="3"/>
      <c r="G4" s="3"/>
      <c r="H4" s="3"/>
    </row>
    <row r="5" spans="1:30" x14ac:dyDescent="0.2">
      <c r="A5" s="8"/>
      <c r="C5" s="2"/>
      <c r="D5" s="2"/>
      <c r="E5" s="2"/>
      <c r="F5" s="3"/>
      <c r="G5" s="3"/>
      <c r="H5" s="3"/>
    </row>
    <row r="6" spans="1:30" x14ac:dyDescent="0.2">
      <c r="A6" s="155" t="s">
        <v>0</v>
      </c>
      <c r="B6" s="155"/>
      <c r="C6" s="155"/>
      <c r="D6" s="34"/>
      <c r="E6" s="132">
        <v>42736</v>
      </c>
      <c r="F6" s="9"/>
      <c r="G6" s="9"/>
      <c r="H6" s="9"/>
      <c r="I6" s="9"/>
      <c r="J6" s="10"/>
      <c r="X6" s="11"/>
      <c r="Y6" s="11"/>
      <c r="Z6" s="11"/>
      <c r="AA6" s="12"/>
      <c r="AB6" s="13"/>
    </row>
    <row r="7" spans="1:30" ht="15.75" customHeight="1" thickBot="1" x14ac:dyDescent="0.25"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</row>
    <row r="8" spans="1:30" s="15" customFormat="1" ht="12.75" customHeight="1" thickTop="1" x14ac:dyDescent="0.25">
      <c r="A8" s="156" t="s">
        <v>1</v>
      </c>
      <c r="B8" s="158" t="s">
        <v>85</v>
      </c>
      <c r="C8" s="160" t="s">
        <v>2</v>
      </c>
      <c r="D8" s="73"/>
      <c r="E8" s="162" t="s">
        <v>3</v>
      </c>
      <c r="F8" s="164" t="s">
        <v>4</v>
      </c>
      <c r="G8" s="141" t="s">
        <v>5</v>
      </c>
      <c r="H8" s="143" t="s">
        <v>6</v>
      </c>
      <c r="I8" s="145" t="s">
        <v>7</v>
      </c>
      <c r="J8" s="146"/>
      <c r="K8" s="146"/>
      <c r="L8" s="146"/>
      <c r="M8" s="146"/>
      <c r="N8" s="147"/>
      <c r="O8" s="148" t="s">
        <v>8</v>
      </c>
      <c r="P8" s="150" t="s">
        <v>9</v>
      </c>
      <c r="Q8" s="151"/>
      <c r="R8" s="74" t="s">
        <v>10</v>
      </c>
      <c r="S8" s="148" t="s">
        <v>83</v>
      </c>
      <c r="T8" s="139" t="s">
        <v>11</v>
      </c>
      <c r="U8" s="140"/>
      <c r="V8" s="171" t="s">
        <v>12</v>
      </c>
      <c r="W8" s="166" t="s">
        <v>13</v>
      </c>
      <c r="X8" s="173"/>
      <c r="Y8" s="174" t="s">
        <v>14</v>
      </c>
      <c r="Z8" s="174" t="s">
        <v>84</v>
      </c>
      <c r="AA8" s="137" t="s">
        <v>15</v>
      </c>
      <c r="AB8" s="166" t="s">
        <v>16</v>
      </c>
      <c r="AC8" s="152" t="s">
        <v>119</v>
      </c>
    </row>
    <row r="9" spans="1:30" s="15" customFormat="1" ht="63.75" thickBot="1" x14ac:dyDescent="0.3">
      <c r="A9" s="157"/>
      <c r="B9" s="159"/>
      <c r="C9" s="161"/>
      <c r="D9" s="75" t="s">
        <v>94</v>
      </c>
      <c r="E9" s="163"/>
      <c r="F9" s="165"/>
      <c r="G9" s="142"/>
      <c r="H9" s="144"/>
      <c r="I9" s="76" t="s">
        <v>17</v>
      </c>
      <c r="J9" s="77" t="s">
        <v>18</v>
      </c>
      <c r="K9" s="78" t="s">
        <v>19</v>
      </c>
      <c r="L9" s="79" t="s">
        <v>20</v>
      </c>
      <c r="M9" s="80" t="s">
        <v>21</v>
      </c>
      <c r="N9" s="81" t="s">
        <v>22</v>
      </c>
      <c r="O9" s="149"/>
      <c r="P9" s="82" t="s">
        <v>23</v>
      </c>
      <c r="Q9" s="80" t="s">
        <v>24</v>
      </c>
      <c r="R9" s="83" t="s">
        <v>25</v>
      </c>
      <c r="S9" s="149"/>
      <c r="T9" s="84" t="s">
        <v>26</v>
      </c>
      <c r="U9" s="85" t="s">
        <v>27</v>
      </c>
      <c r="V9" s="172"/>
      <c r="W9" s="76" t="s">
        <v>28</v>
      </c>
      <c r="X9" s="86" t="s">
        <v>29</v>
      </c>
      <c r="Y9" s="175"/>
      <c r="Z9" s="175"/>
      <c r="AA9" s="138"/>
      <c r="AB9" s="167"/>
      <c r="AC9" s="153"/>
    </row>
    <row r="10" spans="1:30" s="16" customFormat="1" ht="16.5" thickTop="1" x14ac:dyDescent="0.25">
      <c r="A10" s="87">
        <v>1</v>
      </c>
      <c r="B10" s="88" t="s">
        <v>88</v>
      </c>
      <c r="C10" s="89" t="s">
        <v>127</v>
      </c>
      <c r="D10" s="90" t="s">
        <v>95</v>
      </c>
      <c r="E10" s="91" t="s">
        <v>139</v>
      </c>
      <c r="F10" s="92">
        <v>24118</v>
      </c>
      <c r="G10" s="93">
        <v>40544</v>
      </c>
      <c r="H10" s="94"/>
      <c r="I10" s="95">
        <v>10000</v>
      </c>
      <c r="J10" s="96">
        <v>0</v>
      </c>
      <c r="K10" s="96">
        <v>0</v>
      </c>
      <c r="L10" s="96">
        <v>0</v>
      </c>
      <c r="M10" s="96">
        <v>0</v>
      </c>
      <c r="N10" s="97">
        <f t="shared" ref="N10:N15" si="0">SUM(I10:M10)</f>
        <v>10000</v>
      </c>
      <c r="O10" s="98">
        <f t="shared" ref="O10" si="1">+N10</f>
        <v>10000</v>
      </c>
      <c r="P10" s="99">
        <v>0</v>
      </c>
      <c r="Q10" s="96">
        <v>0</v>
      </c>
      <c r="R10" s="100">
        <f>+P10+Q10</f>
        <v>0</v>
      </c>
      <c r="S10" s="101">
        <f t="shared" ref="S10" si="2">+N10+R10</f>
        <v>10000</v>
      </c>
      <c r="T10" s="99">
        <f>IF(S10&gt;6000,0.2*6000,0.2*N10)</f>
        <v>1200</v>
      </c>
      <c r="U10" s="96">
        <f>IF(O10&gt;6000,0.17*6000,0.17*N10)</f>
        <v>1020.0000000000001</v>
      </c>
      <c r="V10" s="100">
        <f t="shared" ref="V10" si="3">SUM(T10:U10)</f>
        <v>2220</v>
      </c>
      <c r="W10" s="102" t="s">
        <v>30</v>
      </c>
      <c r="X10" s="103">
        <v>3</v>
      </c>
      <c r="Y10" s="97">
        <v>0</v>
      </c>
      <c r="Z10" s="101">
        <f>S10-T10-X10</f>
        <v>8797</v>
      </c>
      <c r="AA10" s="98">
        <f>(IF(0.25%*S10&gt;11.25,11.25,0.25%*S10))</f>
        <v>11.25</v>
      </c>
      <c r="AB10" s="101">
        <f t="shared" ref="AB10" si="4">+V10+X10+AA10</f>
        <v>2234.25</v>
      </c>
      <c r="AC10" s="133" t="s">
        <v>133</v>
      </c>
    </row>
    <row r="11" spans="1:30" s="16" customFormat="1" ht="15.75" x14ac:dyDescent="0.25">
      <c r="A11" s="87">
        <v>2</v>
      </c>
      <c r="B11" s="88" t="s">
        <v>89</v>
      </c>
      <c r="C11" s="89" t="s">
        <v>128</v>
      </c>
      <c r="D11" s="90" t="s">
        <v>96</v>
      </c>
      <c r="E11" s="91" t="s">
        <v>140</v>
      </c>
      <c r="F11" s="92">
        <v>24088</v>
      </c>
      <c r="G11" s="93">
        <v>40575</v>
      </c>
      <c r="H11" s="94"/>
      <c r="I11" s="95">
        <v>3000</v>
      </c>
      <c r="J11" s="96">
        <v>0</v>
      </c>
      <c r="K11" s="96">
        <v>0</v>
      </c>
      <c r="L11" s="96">
        <v>0</v>
      </c>
      <c r="M11" s="96">
        <v>0</v>
      </c>
      <c r="N11" s="97">
        <f t="shared" si="0"/>
        <v>3000</v>
      </c>
      <c r="O11" s="98">
        <f t="shared" ref="O11:O15" si="5">+N11</f>
        <v>3000</v>
      </c>
      <c r="P11" s="99">
        <v>0</v>
      </c>
      <c r="Q11" s="96">
        <v>0</v>
      </c>
      <c r="R11" s="100">
        <f t="shared" ref="R11:R15" si="6">+P11+Q11</f>
        <v>0</v>
      </c>
      <c r="S11" s="101">
        <f t="shared" ref="S11:S15" si="7">+N11+R11</f>
        <v>3000</v>
      </c>
      <c r="T11" s="99">
        <f t="shared" ref="T11:T15" si="8">IF(S11&gt;6000,0.2*6000,0.2*N11)</f>
        <v>600</v>
      </c>
      <c r="U11" s="96">
        <f t="shared" ref="U11:U15" si="9">IF(O11&gt;6000,0.17*6000,0.17*N11)</f>
        <v>510.00000000000006</v>
      </c>
      <c r="V11" s="100">
        <f t="shared" ref="V11:V15" si="10">SUM(T11:U11)</f>
        <v>1110</v>
      </c>
      <c r="W11" s="102" t="s">
        <v>30</v>
      </c>
      <c r="X11" s="103">
        <v>1</v>
      </c>
      <c r="Y11" s="97">
        <v>1</v>
      </c>
      <c r="Z11" s="101">
        <f t="shared" ref="Z11:Z15" si="11">S11-T11-X11</f>
        <v>2399</v>
      </c>
      <c r="AA11" s="98">
        <f t="shared" ref="AA11:AA15" si="12">(IF(0.25%*S11&gt;11.25,11.25,0.25%*S11))</f>
        <v>7.5</v>
      </c>
      <c r="AB11" s="101">
        <f t="shared" ref="AB11:AB15" si="13">+V11+X11+AA11</f>
        <v>1118.5</v>
      </c>
      <c r="AC11" s="133" t="s">
        <v>134</v>
      </c>
    </row>
    <row r="12" spans="1:30" s="16" customFormat="1" ht="15.75" x14ac:dyDescent="0.25">
      <c r="A12" s="87">
        <v>3</v>
      </c>
      <c r="B12" s="88" t="s">
        <v>91</v>
      </c>
      <c r="C12" s="89" t="s">
        <v>129</v>
      </c>
      <c r="D12" s="90" t="s">
        <v>97</v>
      </c>
      <c r="E12" s="91" t="s">
        <v>141</v>
      </c>
      <c r="F12" s="92">
        <v>31129</v>
      </c>
      <c r="G12" s="93">
        <v>40603</v>
      </c>
      <c r="H12" s="94"/>
      <c r="I12" s="95">
        <v>5000</v>
      </c>
      <c r="J12" s="96">
        <v>0</v>
      </c>
      <c r="K12" s="96">
        <v>0</v>
      </c>
      <c r="L12" s="96">
        <v>0</v>
      </c>
      <c r="M12" s="96">
        <v>0</v>
      </c>
      <c r="N12" s="97">
        <f t="shared" si="0"/>
        <v>5000</v>
      </c>
      <c r="O12" s="98">
        <f t="shared" si="5"/>
        <v>5000</v>
      </c>
      <c r="P12" s="99">
        <v>0</v>
      </c>
      <c r="Q12" s="96">
        <v>0</v>
      </c>
      <c r="R12" s="100">
        <f t="shared" si="6"/>
        <v>0</v>
      </c>
      <c r="S12" s="101">
        <f t="shared" si="7"/>
        <v>5000</v>
      </c>
      <c r="T12" s="99">
        <f t="shared" si="8"/>
        <v>1000</v>
      </c>
      <c r="U12" s="96">
        <f t="shared" si="9"/>
        <v>850.00000000000011</v>
      </c>
      <c r="V12" s="100">
        <f t="shared" si="10"/>
        <v>1850</v>
      </c>
      <c r="W12" s="102" t="s">
        <v>30</v>
      </c>
      <c r="X12" s="103">
        <v>1.5</v>
      </c>
      <c r="Y12" s="97">
        <v>2</v>
      </c>
      <c r="Z12" s="101">
        <f t="shared" si="11"/>
        <v>3998.5</v>
      </c>
      <c r="AA12" s="98">
        <f t="shared" si="12"/>
        <v>11.25</v>
      </c>
      <c r="AB12" s="101">
        <f t="shared" si="13"/>
        <v>1862.75</v>
      </c>
      <c r="AC12" s="133" t="s">
        <v>135</v>
      </c>
    </row>
    <row r="13" spans="1:30" s="16" customFormat="1" ht="15.75" x14ac:dyDescent="0.25">
      <c r="A13" s="87">
        <v>4</v>
      </c>
      <c r="B13" s="88" t="s">
        <v>90</v>
      </c>
      <c r="C13" s="89" t="s">
        <v>130</v>
      </c>
      <c r="D13" s="90" t="s">
        <v>95</v>
      </c>
      <c r="E13" s="91" t="s">
        <v>142</v>
      </c>
      <c r="F13" s="92">
        <v>29117</v>
      </c>
      <c r="G13" s="93">
        <v>40634</v>
      </c>
      <c r="H13" s="94"/>
      <c r="I13" s="95">
        <v>10000</v>
      </c>
      <c r="J13" s="96">
        <v>0</v>
      </c>
      <c r="K13" s="96">
        <v>0</v>
      </c>
      <c r="L13" s="96">
        <v>0</v>
      </c>
      <c r="M13" s="96">
        <v>0</v>
      </c>
      <c r="N13" s="97">
        <f t="shared" si="0"/>
        <v>10000</v>
      </c>
      <c r="O13" s="98">
        <f t="shared" si="5"/>
        <v>10000</v>
      </c>
      <c r="P13" s="99">
        <v>0</v>
      </c>
      <c r="Q13" s="96">
        <v>0</v>
      </c>
      <c r="R13" s="100">
        <f t="shared" si="6"/>
        <v>0</v>
      </c>
      <c r="S13" s="101">
        <f t="shared" si="7"/>
        <v>10000</v>
      </c>
      <c r="T13" s="99">
        <f t="shared" si="8"/>
        <v>1200</v>
      </c>
      <c r="U13" s="96">
        <f t="shared" si="9"/>
        <v>1020.0000000000001</v>
      </c>
      <c r="V13" s="100">
        <f t="shared" si="10"/>
        <v>2220</v>
      </c>
      <c r="W13" s="102" t="s">
        <v>30</v>
      </c>
      <c r="X13" s="103">
        <v>3</v>
      </c>
      <c r="Y13" s="97">
        <v>3</v>
      </c>
      <c r="Z13" s="101">
        <f t="shared" si="11"/>
        <v>8797</v>
      </c>
      <c r="AA13" s="98">
        <f t="shared" si="12"/>
        <v>11.25</v>
      </c>
      <c r="AB13" s="101">
        <f t="shared" si="13"/>
        <v>2234.25</v>
      </c>
      <c r="AC13" s="133" t="s">
        <v>136</v>
      </c>
    </row>
    <row r="14" spans="1:30" ht="31.5" x14ac:dyDescent="0.2">
      <c r="A14" s="87">
        <v>5</v>
      </c>
      <c r="B14" s="88" t="s">
        <v>92</v>
      </c>
      <c r="C14" s="104" t="s">
        <v>131</v>
      </c>
      <c r="D14" s="105" t="s">
        <v>98</v>
      </c>
      <c r="E14" s="91" t="s">
        <v>143</v>
      </c>
      <c r="F14" s="92">
        <v>24323</v>
      </c>
      <c r="G14" s="93">
        <v>40664</v>
      </c>
      <c r="H14" s="106"/>
      <c r="I14" s="95">
        <v>8000</v>
      </c>
      <c r="J14" s="96">
        <v>0</v>
      </c>
      <c r="K14" s="96">
        <v>0</v>
      </c>
      <c r="L14" s="96">
        <v>0</v>
      </c>
      <c r="M14" s="96">
        <v>0</v>
      </c>
      <c r="N14" s="97">
        <f t="shared" si="0"/>
        <v>8000</v>
      </c>
      <c r="O14" s="98">
        <f t="shared" si="5"/>
        <v>8000</v>
      </c>
      <c r="P14" s="99">
        <v>0</v>
      </c>
      <c r="Q14" s="96">
        <v>0</v>
      </c>
      <c r="R14" s="100">
        <f t="shared" si="6"/>
        <v>0</v>
      </c>
      <c r="S14" s="101">
        <f t="shared" si="7"/>
        <v>8000</v>
      </c>
      <c r="T14" s="99">
        <f t="shared" si="8"/>
        <v>1200</v>
      </c>
      <c r="U14" s="96">
        <f t="shared" si="9"/>
        <v>1020.0000000000001</v>
      </c>
      <c r="V14" s="100">
        <f t="shared" si="10"/>
        <v>2220</v>
      </c>
      <c r="W14" s="102" t="s">
        <v>30</v>
      </c>
      <c r="X14" s="103">
        <v>1</v>
      </c>
      <c r="Y14" s="97">
        <v>4</v>
      </c>
      <c r="Z14" s="101">
        <f t="shared" si="11"/>
        <v>6799</v>
      </c>
      <c r="AA14" s="98">
        <f t="shared" si="12"/>
        <v>11.25</v>
      </c>
      <c r="AB14" s="101">
        <f t="shared" si="13"/>
        <v>2232.25</v>
      </c>
      <c r="AC14" s="133" t="s">
        <v>137</v>
      </c>
    </row>
    <row r="15" spans="1:30" s="8" customFormat="1" ht="16.5" thickBot="1" x14ac:dyDescent="0.3">
      <c r="A15" s="87">
        <v>6</v>
      </c>
      <c r="B15" s="107" t="s">
        <v>93</v>
      </c>
      <c r="C15" s="108" t="s">
        <v>132</v>
      </c>
      <c r="D15" s="109" t="s">
        <v>99</v>
      </c>
      <c r="E15" s="91" t="s">
        <v>144</v>
      </c>
      <c r="F15" s="92">
        <v>29761</v>
      </c>
      <c r="G15" s="93">
        <v>40695</v>
      </c>
      <c r="H15" s="110"/>
      <c r="I15" s="95">
        <v>5000</v>
      </c>
      <c r="J15" s="96">
        <v>0</v>
      </c>
      <c r="K15" s="96">
        <v>0</v>
      </c>
      <c r="L15" s="96">
        <v>0</v>
      </c>
      <c r="M15" s="96">
        <v>0</v>
      </c>
      <c r="N15" s="97">
        <f t="shared" si="0"/>
        <v>5000</v>
      </c>
      <c r="O15" s="98">
        <f t="shared" si="5"/>
        <v>5000</v>
      </c>
      <c r="P15" s="99">
        <v>0</v>
      </c>
      <c r="Q15" s="96">
        <v>0</v>
      </c>
      <c r="R15" s="100">
        <f t="shared" si="6"/>
        <v>0</v>
      </c>
      <c r="S15" s="101">
        <f t="shared" si="7"/>
        <v>5000</v>
      </c>
      <c r="T15" s="99">
        <f t="shared" si="8"/>
        <v>1000</v>
      </c>
      <c r="U15" s="96">
        <f t="shared" si="9"/>
        <v>850.00000000000011</v>
      </c>
      <c r="V15" s="100">
        <f t="shared" si="10"/>
        <v>1850</v>
      </c>
      <c r="W15" s="102" t="s">
        <v>30</v>
      </c>
      <c r="X15" s="103">
        <v>2</v>
      </c>
      <c r="Y15" s="97">
        <v>5</v>
      </c>
      <c r="Z15" s="101">
        <f t="shared" si="11"/>
        <v>3998</v>
      </c>
      <c r="AA15" s="98">
        <f t="shared" si="12"/>
        <v>11.25</v>
      </c>
      <c r="AB15" s="101">
        <f t="shared" si="13"/>
        <v>1863.25</v>
      </c>
      <c r="AC15" s="133" t="s">
        <v>138</v>
      </c>
    </row>
    <row r="16" spans="1:30" ht="16.5" thickBot="1" x14ac:dyDescent="0.3">
      <c r="A16" s="168" t="s">
        <v>41</v>
      </c>
      <c r="B16" s="169"/>
      <c r="C16" s="169"/>
      <c r="D16" s="111"/>
      <c r="E16" s="112"/>
      <c r="F16" s="112"/>
      <c r="G16" s="113" t="s">
        <v>31</v>
      </c>
      <c r="H16" s="114"/>
      <c r="I16" s="115">
        <f t="shared" ref="I16:V16" si="14">SUM(I10:I15)</f>
        <v>41000</v>
      </c>
      <c r="J16" s="115">
        <f t="shared" si="14"/>
        <v>0</v>
      </c>
      <c r="K16" s="116">
        <f t="shared" si="14"/>
        <v>0</v>
      </c>
      <c r="L16" s="116">
        <f t="shared" si="14"/>
        <v>0</v>
      </c>
      <c r="M16" s="116">
        <f t="shared" si="14"/>
        <v>0</v>
      </c>
      <c r="N16" s="117">
        <f t="shared" si="14"/>
        <v>41000</v>
      </c>
      <c r="O16" s="118">
        <f t="shared" si="14"/>
        <v>41000</v>
      </c>
      <c r="P16" s="119">
        <f t="shared" si="14"/>
        <v>0</v>
      </c>
      <c r="Q16" s="120">
        <f t="shared" si="14"/>
        <v>0</v>
      </c>
      <c r="R16" s="121">
        <f t="shared" si="14"/>
        <v>0</v>
      </c>
      <c r="S16" s="122">
        <f t="shared" si="14"/>
        <v>41000</v>
      </c>
      <c r="T16" s="123">
        <f t="shared" si="14"/>
        <v>6200</v>
      </c>
      <c r="U16" s="124">
        <f t="shared" si="14"/>
        <v>5270.0000000000009</v>
      </c>
      <c r="V16" s="125">
        <f t="shared" si="14"/>
        <v>11470</v>
      </c>
      <c r="W16" s="126"/>
      <c r="X16" s="127">
        <f>SUM(X10:X15)</f>
        <v>11.5</v>
      </c>
      <c r="Y16" s="128">
        <f>SUM(Y10:Y15)</f>
        <v>15</v>
      </c>
      <c r="Z16" s="101">
        <f t="shared" ref="Z16" si="15">+S16-T16-X16+Y16</f>
        <v>34803.5</v>
      </c>
      <c r="AA16" s="129">
        <f>ROUNDDOWN(SUM(AA10:AA15),0)</f>
        <v>63</v>
      </c>
      <c r="AB16" s="130">
        <f>+V16+AA16+X16</f>
        <v>11544.5</v>
      </c>
      <c r="AC16" s="131"/>
    </row>
    <row r="17" spans="1:28" s="8" customFormat="1" ht="13.5" thickTop="1" x14ac:dyDescent="0.2">
      <c r="A17" s="17"/>
      <c r="B17" s="17"/>
      <c r="C17" s="17"/>
      <c r="D17" s="17"/>
      <c r="E17" s="18"/>
      <c r="F17" s="18"/>
      <c r="G17" s="19"/>
      <c r="H17" s="18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</row>
    <row r="18" spans="1:28" s="8" customFormat="1" x14ac:dyDescent="0.2">
      <c r="A18" s="17"/>
      <c r="B18" s="17"/>
      <c r="C18" s="17"/>
      <c r="D18" s="17"/>
      <c r="E18" s="18"/>
      <c r="F18" s="18"/>
      <c r="G18" s="19"/>
      <c r="H18" s="18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s="8" customFormat="1" x14ac:dyDescent="0.2">
      <c r="A19" s="17"/>
      <c r="B19" s="17"/>
      <c r="C19" s="45" t="s">
        <v>76</v>
      </c>
      <c r="D19" s="45"/>
      <c r="E19" s="46">
        <f>T16</f>
        <v>6200</v>
      </c>
      <c r="F19" s="18"/>
      <c r="G19" s="19"/>
      <c r="H19" s="18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</row>
    <row r="20" spans="1:28" s="8" customFormat="1" x14ac:dyDescent="0.2">
      <c r="A20" s="17"/>
      <c r="B20" s="17"/>
      <c r="C20" s="45" t="s">
        <v>77</v>
      </c>
      <c r="D20" s="45"/>
      <c r="E20" s="46">
        <f>U16</f>
        <v>5270.0000000000009</v>
      </c>
      <c r="F20" s="18"/>
      <c r="G20" s="19"/>
      <c r="H20" s="18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1:28" s="8" customFormat="1" x14ac:dyDescent="0.2">
      <c r="A21" s="17"/>
      <c r="B21" s="17"/>
      <c r="C21" s="45" t="s">
        <v>78</v>
      </c>
      <c r="D21" s="45"/>
      <c r="E21" s="46">
        <f>X16</f>
        <v>11.5</v>
      </c>
      <c r="F21" s="18"/>
      <c r="G21" s="19"/>
      <c r="H21" s="18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s="8" customFormat="1" x14ac:dyDescent="0.2">
      <c r="A22" s="17"/>
      <c r="B22" s="17"/>
      <c r="C22" s="45" t="s">
        <v>79</v>
      </c>
      <c r="D22" s="45"/>
      <c r="E22" s="46">
        <f>AA16</f>
        <v>63</v>
      </c>
      <c r="F22" s="18"/>
      <c r="G22" s="19"/>
      <c r="H22" s="18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 s="8" customFormat="1" x14ac:dyDescent="0.2">
      <c r="A23" s="17"/>
      <c r="B23" s="17"/>
      <c r="C23" s="17" t="s">
        <v>80</v>
      </c>
      <c r="D23" s="17"/>
      <c r="E23" s="47">
        <f>SUM(E19:E22)</f>
        <v>11544.5</v>
      </c>
      <c r="F23" s="18"/>
      <c r="G23" s="19"/>
      <c r="H23" s="18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8" s="8" customFormat="1" x14ac:dyDescent="0.2">
      <c r="A24" s="17"/>
      <c r="B24" s="17"/>
      <c r="C24" s="45" t="s">
        <v>81</v>
      </c>
      <c r="D24" s="45"/>
      <c r="E24" s="48">
        <v>0</v>
      </c>
      <c r="F24" s="18"/>
      <c r="G24" s="19"/>
      <c r="H24" s="18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</row>
    <row r="25" spans="1:28" s="8" customFormat="1" x14ac:dyDescent="0.2">
      <c r="A25" s="17"/>
      <c r="B25" s="17"/>
      <c r="C25" s="17" t="s">
        <v>82</v>
      </c>
      <c r="D25" s="17"/>
      <c r="E25" s="47">
        <f>E23-E24</f>
        <v>11544.5</v>
      </c>
      <c r="F25" s="18"/>
      <c r="G25" s="19"/>
      <c r="H25" s="18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 s="8" customFormat="1" x14ac:dyDescent="0.2">
      <c r="A26" s="17"/>
      <c r="B26" s="17"/>
      <c r="C26" s="17"/>
      <c r="D26" s="17"/>
      <c r="E26" s="18"/>
      <c r="F26" s="18"/>
      <c r="G26" s="19"/>
      <c r="H26" s="18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 s="8" customFormat="1" x14ac:dyDescent="0.2">
      <c r="A27" s="17"/>
      <c r="B27" s="17"/>
      <c r="C27" s="17" t="s">
        <v>86</v>
      </c>
      <c r="D27" s="17"/>
      <c r="E27" s="18"/>
      <c r="F27" s="18"/>
      <c r="G27" s="19"/>
      <c r="H27" s="18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</row>
    <row r="28" spans="1:28" s="8" customFormat="1" x14ac:dyDescent="0.2">
      <c r="A28" s="17"/>
      <c r="B28" s="17"/>
      <c r="C28" s="45" t="str">
        <f>1&amp;" "&amp;TEXT(E6,"mmm yyyy")&amp;" to "&amp;TEXT(EOMONTH(E6,0),"dd mmm yyyy")</f>
        <v>1 Jan 2017 to 31 Jan 2017</v>
      </c>
      <c r="E28" s="18"/>
      <c r="F28" s="18"/>
      <c r="G28" s="19"/>
      <c r="H28" s="18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 s="8" customFormat="1" x14ac:dyDescent="0.2">
      <c r="A29" s="17"/>
      <c r="B29" s="17"/>
      <c r="C29" s="17" t="s">
        <v>87</v>
      </c>
      <c r="D29" s="17"/>
      <c r="E29" s="18"/>
      <c r="F29" s="18"/>
      <c r="G29" s="19"/>
      <c r="H29" s="18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 s="8" customFormat="1" x14ac:dyDescent="0.2">
      <c r="A30" s="17"/>
      <c r="B30" s="17"/>
      <c r="C30" s="49">
        <v>42764</v>
      </c>
      <c r="D30" s="49"/>
      <c r="E30" s="18"/>
      <c r="F30" s="18"/>
      <c r="G30" s="19"/>
      <c r="H30" s="18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8" s="8" customFormat="1" x14ac:dyDescent="0.2">
      <c r="A31" s="17"/>
      <c r="B31" s="17"/>
      <c r="C31" s="49"/>
      <c r="D31" s="49"/>
      <c r="E31" s="18"/>
      <c r="F31" s="18"/>
      <c r="G31" s="19"/>
      <c r="H31" s="18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 s="8" customFormat="1" x14ac:dyDescent="0.2">
      <c r="A32" s="17"/>
      <c r="B32" s="17"/>
      <c r="C32" s="17"/>
      <c r="D32" s="17"/>
      <c r="E32" s="18"/>
      <c r="F32" s="18"/>
      <c r="G32" s="19"/>
      <c r="H32" s="18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33" s="6" customFormat="1" x14ac:dyDescent="0.2">
      <c r="A33" s="155" t="s">
        <v>32</v>
      </c>
      <c r="B33" s="155"/>
      <c r="C33" s="155"/>
      <c r="D33" s="34"/>
      <c r="E33" s="9"/>
      <c r="F33" s="21"/>
      <c r="G33" s="21"/>
      <c r="H33" s="21"/>
      <c r="J33" s="10"/>
      <c r="U33" s="10"/>
      <c r="V33" s="10"/>
      <c r="W33" s="7"/>
      <c r="Y33" s="6">
        <v>5124.92</v>
      </c>
      <c r="AB33" s="22" t="s">
        <v>33</v>
      </c>
      <c r="AC33" s="8"/>
      <c r="AD33" s="8"/>
    </row>
    <row r="34" spans="1:33" s="6" customFormat="1" x14ac:dyDescent="0.2">
      <c r="A34" s="9"/>
      <c r="B34" s="23"/>
      <c r="C34" s="9"/>
      <c r="D34" s="34"/>
      <c r="E34" s="9"/>
      <c r="F34" s="21"/>
      <c r="G34" s="21"/>
      <c r="H34" s="21"/>
      <c r="J34" s="10"/>
      <c r="U34" s="9"/>
      <c r="V34" s="9"/>
      <c r="W34" s="7"/>
      <c r="AB34" s="22"/>
      <c r="AD34" s="8"/>
    </row>
    <row r="35" spans="1:33" s="6" customFormat="1" x14ac:dyDescent="0.2">
      <c r="A35" s="9"/>
      <c r="B35" s="8"/>
      <c r="C35" s="9"/>
      <c r="D35" s="34"/>
      <c r="E35" s="9"/>
      <c r="F35" s="21"/>
      <c r="G35" s="21"/>
      <c r="H35" s="21"/>
      <c r="J35" s="10"/>
      <c r="U35" s="9"/>
      <c r="V35" s="9"/>
      <c r="W35" s="7"/>
      <c r="AB35" s="22"/>
      <c r="AC35" s="8"/>
      <c r="AD35" s="8"/>
    </row>
    <row r="36" spans="1:33" s="6" customFormat="1" x14ac:dyDescent="0.2">
      <c r="A36" s="24"/>
      <c r="B36" s="25"/>
      <c r="C36" s="24"/>
      <c r="D36" s="17"/>
      <c r="E36" s="17"/>
      <c r="F36" s="21"/>
      <c r="G36" s="21"/>
      <c r="H36" s="21"/>
      <c r="J36" s="10"/>
      <c r="U36" s="11"/>
      <c r="V36" s="11"/>
      <c r="W36" s="19"/>
      <c r="AA36" s="26"/>
      <c r="AB36" s="27"/>
      <c r="AC36" s="8"/>
      <c r="AD36" s="8"/>
    </row>
    <row r="37" spans="1:33" s="6" customFormat="1" x14ac:dyDescent="0.2">
      <c r="A37" s="170" t="s">
        <v>39</v>
      </c>
      <c r="B37" s="170"/>
      <c r="C37" s="170"/>
      <c r="D37" s="17"/>
      <c r="E37" s="9"/>
      <c r="F37" s="21"/>
      <c r="G37" s="21"/>
      <c r="H37" s="21"/>
      <c r="J37" s="10"/>
      <c r="U37" s="10"/>
      <c r="V37" s="10"/>
      <c r="W37" s="7"/>
      <c r="AB37" s="22" t="s">
        <v>40</v>
      </c>
      <c r="AC37" s="8"/>
      <c r="AD37" s="8"/>
    </row>
    <row r="38" spans="1:33" s="6" customFormat="1" x14ac:dyDescent="0.2">
      <c r="A38" s="17"/>
      <c r="B38" s="17"/>
      <c r="C38" s="17"/>
      <c r="D38" s="17"/>
      <c r="E38" s="9"/>
      <c r="F38" s="21"/>
      <c r="G38" s="21"/>
      <c r="H38" s="21"/>
      <c r="J38" s="10"/>
      <c r="U38" s="10"/>
      <c r="V38" s="10"/>
      <c r="W38" s="7"/>
      <c r="AA38" s="6" t="s">
        <v>34</v>
      </c>
      <c r="AB38" s="22"/>
      <c r="AC38" s="8"/>
      <c r="AD38" s="8"/>
    </row>
    <row r="39" spans="1:33" s="6" customFormat="1" x14ac:dyDescent="0.2">
      <c r="B39" s="21" t="s">
        <v>35</v>
      </c>
      <c r="C39" s="28"/>
      <c r="D39" s="28"/>
      <c r="E39" s="28"/>
      <c r="F39" s="29"/>
      <c r="G39" s="29"/>
      <c r="H39" s="14"/>
      <c r="I39" s="4"/>
      <c r="J39" s="5"/>
      <c r="K39" s="4"/>
      <c r="L39" s="4"/>
      <c r="M39" s="4"/>
      <c r="N39" s="4"/>
      <c r="O39" s="4"/>
      <c r="P39" s="4"/>
      <c r="Q39" s="4"/>
      <c r="T39" s="4"/>
      <c r="U39" s="4"/>
      <c r="W39" s="7"/>
      <c r="X39" s="4"/>
      <c r="Y39" s="4"/>
      <c r="Z39" s="4"/>
      <c r="AA39" s="4"/>
      <c r="AC39" s="2"/>
      <c r="AD39" s="2"/>
      <c r="AE39" s="2"/>
      <c r="AF39" s="2"/>
      <c r="AG39" s="2"/>
    </row>
    <row r="40" spans="1:33" s="6" customFormat="1" x14ac:dyDescent="0.2">
      <c r="B40" s="21"/>
      <c r="Q40" s="4"/>
      <c r="T40" s="4"/>
      <c r="U40" s="4"/>
      <c r="W40" s="7"/>
      <c r="X40" s="4"/>
      <c r="Y40" s="4"/>
      <c r="Z40" s="4"/>
      <c r="AA40" s="4"/>
      <c r="AC40" s="2"/>
      <c r="AD40" s="2"/>
      <c r="AE40" s="2"/>
      <c r="AF40" s="2"/>
      <c r="AG40" s="2"/>
    </row>
    <row r="41" spans="1:33" s="6" customFormat="1" x14ac:dyDescent="0.2">
      <c r="B41" s="21"/>
      <c r="Q41" s="4"/>
      <c r="T41" s="4"/>
      <c r="U41" s="4"/>
      <c r="W41" s="7"/>
      <c r="X41" s="4"/>
      <c r="Y41" s="4"/>
      <c r="Z41" s="4"/>
      <c r="AA41" s="4"/>
      <c r="AC41" s="2"/>
      <c r="AD41" s="2"/>
      <c r="AE41" s="2"/>
      <c r="AF41" s="2"/>
      <c r="AG41" s="2"/>
    </row>
    <row r="42" spans="1:33" s="8" customFormat="1" outlineLevel="1" x14ac:dyDescent="0.2">
      <c r="A42" s="7"/>
      <c r="B42" s="21"/>
      <c r="Q42" s="4"/>
      <c r="R42" s="6"/>
      <c r="T42" s="2"/>
      <c r="U42" s="4"/>
    </row>
    <row r="43" spans="1:33" s="8" customFormat="1" ht="31.9" customHeight="1" outlineLevel="1" x14ac:dyDescent="0.2">
      <c r="A43" s="7"/>
      <c r="B43" s="44"/>
      <c r="Q43" s="4"/>
      <c r="R43" s="6"/>
      <c r="S43" s="154"/>
      <c r="T43" s="39"/>
      <c r="U43" s="4"/>
      <c r="V43" s="6"/>
      <c r="W43" s="7"/>
      <c r="Z43" s="6"/>
      <c r="AA43" s="6"/>
      <c r="AB43" s="6"/>
    </row>
    <row r="44" spans="1:33" ht="72" hidden="1" customHeight="1" outlineLevel="1" x14ac:dyDescent="0.2">
      <c r="A44" s="7"/>
      <c r="B44" s="44"/>
      <c r="S44" s="154"/>
      <c r="T44" s="39"/>
    </row>
    <row r="45" spans="1:33" ht="15" outlineLevel="1" x14ac:dyDescent="0.2">
      <c r="A45" s="7"/>
      <c r="B45" s="44"/>
      <c r="S45" s="40"/>
      <c r="T45" s="41"/>
    </row>
    <row r="46" spans="1:33" ht="15" outlineLevel="1" x14ac:dyDescent="0.2">
      <c r="A46" s="7"/>
      <c r="B46" s="44"/>
      <c r="S46" s="42"/>
      <c r="T46" s="41"/>
    </row>
    <row r="47" spans="1:33" ht="15" outlineLevel="1" x14ac:dyDescent="0.2">
      <c r="A47" s="7"/>
      <c r="B47" s="44"/>
      <c r="S47" s="42"/>
      <c r="T47" s="41"/>
    </row>
    <row r="48" spans="1:33" ht="15" outlineLevel="1" x14ac:dyDescent="0.2">
      <c r="A48" s="7"/>
      <c r="B48" s="44"/>
      <c r="S48" s="42"/>
      <c r="T48" s="41"/>
    </row>
    <row r="49" spans="1:33" s="6" customFormat="1" ht="15" outlineLevel="1" x14ac:dyDescent="0.2">
      <c r="A49" s="7"/>
      <c r="B49" s="44"/>
      <c r="Q49" s="4"/>
      <c r="S49" s="42"/>
      <c r="T49" s="41"/>
      <c r="U49" s="4"/>
      <c r="W49" s="7"/>
      <c r="X49" s="4"/>
      <c r="Y49" s="4"/>
      <c r="Z49" s="4"/>
      <c r="AA49" s="4"/>
      <c r="AC49" s="2"/>
      <c r="AD49" s="2"/>
      <c r="AE49" s="2"/>
      <c r="AF49" s="2"/>
      <c r="AG49" s="2"/>
    </row>
    <row r="50" spans="1:33" s="6" customFormat="1" ht="15" outlineLevel="1" x14ac:dyDescent="0.2">
      <c r="A50" s="7"/>
      <c r="B50" s="44"/>
      <c r="Q50" s="4"/>
      <c r="S50" s="42"/>
      <c r="T50" s="41"/>
      <c r="U50" s="4"/>
      <c r="W50" s="7"/>
      <c r="X50" s="4"/>
      <c r="Y50" s="4"/>
      <c r="Z50" s="4"/>
      <c r="AA50" s="4"/>
      <c r="AC50" s="2"/>
      <c r="AD50" s="2"/>
      <c r="AE50" s="2"/>
      <c r="AF50" s="2"/>
      <c r="AG50" s="2"/>
    </row>
    <row r="51" spans="1:33" s="6" customFormat="1" ht="15" x14ac:dyDescent="0.2">
      <c r="A51" s="7"/>
      <c r="B51" s="44"/>
      <c r="Q51" s="4"/>
      <c r="S51" s="42"/>
      <c r="T51" s="41"/>
      <c r="U51" s="4"/>
      <c r="W51" s="7"/>
      <c r="X51" s="4"/>
      <c r="Y51" s="4"/>
      <c r="Z51" s="4"/>
      <c r="AA51" s="4"/>
      <c r="AC51" s="2"/>
      <c r="AD51" s="2"/>
      <c r="AE51" s="2"/>
      <c r="AF51" s="2"/>
      <c r="AG51" s="2"/>
    </row>
    <row r="52" spans="1:33" ht="24" customHeight="1" x14ac:dyDescent="0.2">
      <c r="A52" s="7"/>
      <c r="B52" s="44"/>
      <c r="S52" s="42"/>
      <c r="T52" s="41"/>
    </row>
    <row r="53" spans="1:33" ht="13.9" hidden="1" customHeight="1" x14ac:dyDescent="0.2">
      <c r="S53" s="8"/>
      <c r="T53" s="2"/>
    </row>
    <row r="54" spans="1:33" x14ac:dyDescent="0.2">
      <c r="S54" s="8"/>
      <c r="T54" s="2"/>
    </row>
  </sheetData>
  <mergeCells count="24">
    <mergeCell ref="AC8:AC9"/>
    <mergeCell ref="S43:S44"/>
    <mergeCell ref="A6:C6"/>
    <mergeCell ref="A8:A9"/>
    <mergeCell ref="B8:B9"/>
    <mergeCell ref="C8:C9"/>
    <mergeCell ref="E8:E9"/>
    <mergeCell ref="F8:F9"/>
    <mergeCell ref="AB8:AB9"/>
    <mergeCell ref="A16:C16"/>
    <mergeCell ref="A33:C33"/>
    <mergeCell ref="A37:C37"/>
    <mergeCell ref="V8:V9"/>
    <mergeCell ref="W8:X8"/>
    <mergeCell ref="Y8:Y9"/>
    <mergeCell ref="Z8:Z9"/>
    <mergeCell ref="AA8:AA9"/>
    <mergeCell ref="T8:U8"/>
    <mergeCell ref="G8:G9"/>
    <mergeCell ref="H8:H9"/>
    <mergeCell ref="I8:N8"/>
    <mergeCell ref="O8:O9"/>
    <mergeCell ref="P8:Q8"/>
    <mergeCell ref="S8:S9"/>
  </mergeCells>
  <hyperlinks>
    <hyperlink ref="AC10" r:id="rId1"/>
    <hyperlink ref="AC11:AC15" r:id="rId2" display="alex@companyabc.com.sg"/>
    <hyperlink ref="AC11" r:id="rId3"/>
    <hyperlink ref="AC12" r:id="rId4"/>
    <hyperlink ref="AC13" r:id="rId5"/>
    <hyperlink ref="AC14" r:id="rId6"/>
    <hyperlink ref="AC15" r:id="rId7"/>
  </hyperlinks>
  <pageMargins left="0.7" right="0.7" top="0.75" bottom="0.75" header="0.3" footer="0.3"/>
  <pageSetup paperSize="9" scale="36" fitToHeight="0" orientation="landscape" r:id="rId8"/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G35"/>
  <sheetViews>
    <sheetView zoomScale="75" zoomScaleNormal="75" workbookViewId="0">
      <selection activeCell="O14" sqref="O14"/>
    </sheetView>
  </sheetViews>
  <sheetFormatPr defaultRowHeight="15" x14ac:dyDescent="0.25"/>
  <cols>
    <col min="1" max="1" width="32.85546875" customWidth="1"/>
    <col min="2" max="2" width="33" customWidth="1"/>
    <col min="3" max="3" width="23.42578125" bestFit="1" customWidth="1"/>
    <col min="7" max="7" width="15.5703125" bestFit="1" customWidth="1"/>
  </cols>
  <sheetData>
    <row r="1" spans="1:7" ht="30" customHeight="1" x14ac:dyDescent="0.35">
      <c r="A1" s="176" t="s">
        <v>146</v>
      </c>
      <c r="B1" s="177"/>
      <c r="C1" s="177"/>
      <c r="D1" s="177"/>
      <c r="E1" s="177"/>
      <c r="F1" s="177"/>
      <c r="G1" s="177"/>
    </row>
    <row r="2" spans="1:7" ht="18.75" x14ac:dyDescent="0.3">
      <c r="A2" s="178" t="s">
        <v>100</v>
      </c>
      <c r="B2" s="179"/>
      <c r="C2" s="54" t="str">
        <f>Payroll!C28</f>
        <v>1 Jan 2017 to 31 Jan 2017</v>
      </c>
      <c r="D2" s="54"/>
      <c r="E2" s="54"/>
      <c r="F2" s="54"/>
      <c r="G2" s="54"/>
    </row>
    <row r="3" spans="1:7" ht="18.75" x14ac:dyDescent="0.3">
      <c r="A3" s="54"/>
      <c r="B3" s="54"/>
      <c r="C3" s="54"/>
      <c r="D3" s="54"/>
      <c r="E3" s="54"/>
      <c r="F3" s="54"/>
      <c r="G3" s="54"/>
    </row>
    <row r="4" spans="1:7" ht="18.75" x14ac:dyDescent="0.3">
      <c r="A4" s="54"/>
      <c r="B4" s="54"/>
      <c r="C4" s="54"/>
      <c r="D4" s="54"/>
      <c r="E4" s="54"/>
      <c r="F4" s="54"/>
      <c r="G4" s="54"/>
    </row>
    <row r="5" spans="1:7" ht="18.75" x14ac:dyDescent="0.3">
      <c r="A5" s="54"/>
      <c r="B5" s="54"/>
      <c r="C5" s="54"/>
      <c r="D5" s="54"/>
      <c r="E5" s="54"/>
      <c r="F5" s="54"/>
      <c r="G5" s="54"/>
    </row>
    <row r="6" spans="1:7" ht="18.75" x14ac:dyDescent="0.3">
      <c r="A6" s="54" t="s">
        <v>101</v>
      </c>
      <c r="B6" s="54" t="str">
        <f>VLOOKUP($B$9,Payroll!B10:C15,2,FALSE)</f>
        <v>Ben</v>
      </c>
      <c r="C6" s="54" t="s">
        <v>105</v>
      </c>
      <c r="D6" s="54" t="str">
        <f>VLOOKUP($B$9,Payroll!B10:D15,3,FALSE)</f>
        <v>Senior Client Advisor</v>
      </c>
      <c r="E6" s="54"/>
      <c r="F6" s="54"/>
      <c r="G6" s="54"/>
    </row>
    <row r="7" spans="1:7" ht="18.75" x14ac:dyDescent="0.3">
      <c r="A7" s="54" t="s">
        <v>102</v>
      </c>
      <c r="B7" s="54" t="str">
        <f>VLOOKUP($B$9,Payroll!B10:E15,4,FALSE)</f>
        <v>S1111112Z</v>
      </c>
      <c r="C7" s="54" t="s">
        <v>106</v>
      </c>
      <c r="D7" s="54" t="s">
        <v>118</v>
      </c>
      <c r="E7" s="54"/>
      <c r="F7" s="54"/>
      <c r="G7" s="54"/>
    </row>
    <row r="8" spans="1:7" ht="18.75" x14ac:dyDescent="0.3">
      <c r="A8" s="54" t="s">
        <v>103</v>
      </c>
      <c r="B8" s="55">
        <f>VLOOKUP($B$9,Payroll!B10:G15,6,FALSE)</f>
        <v>40575</v>
      </c>
      <c r="C8" s="54"/>
      <c r="D8" s="54"/>
      <c r="E8" s="54"/>
      <c r="F8" s="54"/>
      <c r="G8" s="54"/>
    </row>
    <row r="9" spans="1:7" ht="18.75" x14ac:dyDescent="0.3">
      <c r="A9" s="54" t="s">
        <v>104</v>
      </c>
      <c r="B9" s="54" t="s">
        <v>89</v>
      </c>
      <c r="C9" s="54"/>
      <c r="D9" s="54"/>
      <c r="E9" s="54"/>
      <c r="F9" s="54"/>
      <c r="G9" s="54"/>
    </row>
    <row r="10" spans="1:7" ht="18.75" x14ac:dyDescent="0.3">
      <c r="A10" s="54"/>
      <c r="B10" s="54"/>
      <c r="C10" s="54"/>
      <c r="D10" s="54"/>
      <c r="E10" s="54"/>
      <c r="F10" s="54"/>
      <c r="G10" s="54"/>
    </row>
    <row r="11" spans="1:7" ht="18.75" x14ac:dyDescent="0.3">
      <c r="A11" s="56" t="s">
        <v>108</v>
      </c>
      <c r="B11" s="57"/>
      <c r="C11" s="56" t="s">
        <v>107</v>
      </c>
      <c r="D11" s="58"/>
      <c r="E11" s="58"/>
      <c r="F11" s="58"/>
      <c r="G11" s="57"/>
    </row>
    <row r="12" spans="1:7" ht="18.75" x14ac:dyDescent="0.3">
      <c r="A12" s="59" t="s">
        <v>109</v>
      </c>
      <c r="B12" s="60">
        <f>VLOOKUP($B$9,Payroll!B10:N15,8,FALSE)</f>
        <v>3000</v>
      </c>
      <c r="C12" s="59" t="s">
        <v>110</v>
      </c>
      <c r="D12" s="61"/>
      <c r="E12" s="61"/>
      <c r="F12" s="61"/>
      <c r="G12" s="60">
        <f>VLOOKUP($B$9,Payroll!B10:V15,19,FALSE)</f>
        <v>600</v>
      </c>
    </row>
    <row r="13" spans="1:7" ht="18.75" x14ac:dyDescent="0.3">
      <c r="A13" s="59"/>
      <c r="B13" s="60"/>
      <c r="C13" s="59"/>
      <c r="D13" s="61"/>
      <c r="E13" s="61"/>
      <c r="F13" s="61"/>
      <c r="G13" s="60"/>
    </row>
    <row r="14" spans="1:7" ht="18.75" x14ac:dyDescent="0.3">
      <c r="A14" s="59"/>
      <c r="B14" s="60"/>
      <c r="C14" s="59" t="s">
        <v>30</v>
      </c>
      <c r="D14" s="61"/>
      <c r="E14" s="61"/>
      <c r="F14" s="61"/>
      <c r="G14" s="60">
        <f>VLOOKUP($B$9,Payroll!B10:X15,23,FALSE)</f>
        <v>1</v>
      </c>
    </row>
    <row r="15" spans="1:7" ht="18.75" x14ac:dyDescent="0.3">
      <c r="A15" s="59"/>
      <c r="B15" s="60"/>
      <c r="C15" s="59"/>
      <c r="D15" s="61"/>
      <c r="E15" s="61"/>
      <c r="F15" s="61"/>
      <c r="G15" s="60"/>
    </row>
    <row r="16" spans="1:7" ht="18.75" x14ac:dyDescent="0.3">
      <c r="A16" s="62" t="s">
        <v>111</v>
      </c>
      <c r="B16" s="60">
        <f>SUM(B12:B15)</f>
        <v>3000</v>
      </c>
      <c r="C16" s="62" t="s">
        <v>112</v>
      </c>
      <c r="D16" s="61"/>
      <c r="E16" s="61"/>
      <c r="F16" s="61"/>
      <c r="G16" s="60">
        <f>SUM(G12:G15)</f>
        <v>601</v>
      </c>
    </row>
    <row r="17" spans="1:7" ht="18.75" x14ac:dyDescent="0.3">
      <c r="A17" s="63"/>
      <c r="B17" s="64"/>
      <c r="C17" s="63"/>
      <c r="D17" s="65"/>
      <c r="E17" s="65"/>
      <c r="F17" s="65"/>
      <c r="G17" s="72"/>
    </row>
    <row r="18" spans="1:7" s="52" customFormat="1" ht="18.75" x14ac:dyDescent="0.3">
      <c r="A18" s="66" t="s">
        <v>113</v>
      </c>
      <c r="B18" s="67"/>
      <c r="C18" s="68"/>
      <c r="D18" s="68"/>
      <c r="E18" s="68"/>
      <c r="F18" s="68"/>
      <c r="G18" s="69">
        <f>VLOOKUP($B$9,Payroll!B10:AB15,25,FALSE)</f>
        <v>2399</v>
      </c>
    </row>
    <row r="19" spans="1:7" ht="18.75" x14ac:dyDescent="0.3">
      <c r="A19" s="54"/>
      <c r="B19" s="70"/>
      <c r="C19" s="54"/>
      <c r="D19" s="54"/>
      <c r="E19" s="54"/>
      <c r="F19" s="54"/>
      <c r="G19" s="54"/>
    </row>
    <row r="20" spans="1:7" ht="18.75" x14ac:dyDescent="0.3">
      <c r="A20" s="54" t="s">
        <v>114</v>
      </c>
      <c r="B20" s="70"/>
      <c r="C20" s="54"/>
      <c r="D20" s="54"/>
      <c r="E20" s="54"/>
      <c r="F20" s="54"/>
      <c r="G20" s="54"/>
    </row>
    <row r="21" spans="1:7" ht="18.75" x14ac:dyDescent="0.3">
      <c r="A21" s="54"/>
      <c r="B21" s="70"/>
      <c r="C21" s="54"/>
      <c r="D21" s="54"/>
      <c r="E21" s="54"/>
      <c r="F21" s="54"/>
      <c r="G21" s="54"/>
    </row>
    <row r="22" spans="1:7" ht="18.75" x14ac:dyDescent="0.3">
      <c r="A22" s="54" t="s">
        <v>115</v>
      </c>
      <c r="B22" s="70">
        <f>VLOOKUP($B$9,Payroll!B10:V15,20,FALSE)</f>
        <v>510.00000000000006</v>
      </c>
      <c r="C22" s="54"/>
      <c r="D22" s="54"/>
      <c r="E22" s="54"/>
      <c r="F22" s="54"/>
      <c r="G22" s="54"/>
    </row>
    <row r="23" spans="1:7" ht="18.75" x14ac:dyDescent="0.3">
      <c r="A23" s="54"/>
      <c r="B23" s="70"/>
      <c r="C23" s="54"/>
      <c r="D23" s="54"/>
      <c r="E23" s="54"/>
      <c r="F23" s="54"/>
      <c r="G23" s="54"/>
    </row>
    <row r="24" spans="1:7" ht="18.75" x14ac:dyDescent="0.3">
      <c r="A24" s="54" t="s">
        <v>116</v>
      </c>
      <c r="B24" s="70">
        <f>VLOOKUP($B$9,Payroll!B10:AA15,26)</f>
        <v>7.5</v>
      </c>
      <c r="C24" s="54"/>
      <c r="D24" s="54"/>
      <c r="E24" s="54"/>
      <c r="F24" s="54"/>
      <c r="G24" s="54"/>
    </row>
    <row r="25" spans="1:7" ht="18.75" x14ac:dyDescent="0.3">
      <c r="A25" s="54"/>
      <c r="B25" s="70"/>
      <c r="C25" s="54"/>
      <c r="D25" s="54"/>
      <c r="E25" s="54"/>
      <c r="F25" s="54"/>
      <c r="G25" s="54"/>
    </row>
    <row r="26" spans="1:7" ht="18.75" x14ac:dyDescent="0.3">
      <c r="A26" s="71" t="s">
        <v>117</v>
      </c>
      <c r="B26" s="70"/>
      <c r="C26" s="54"/>
      <c r="D26" s="54"/>
      <c r="E26" s="54"/>
      <c r="F26" s="54"/>
      <c r="G26" s="54"/>
    </row>
    <row r="27" spans="1:7" ht="18.75" x14ac:dyDescent="0.3">
      <c r="A27" s="54"/>
      <c r="B27" s="54"/>
      <c r="C27" s="54"/>
      <c r="D27" s="54"/>
      <c r="E27" s="54"/>
      <c r="F27" s="54"/>
      <c r="G27" s="54"/>
    </row>
    <row r="28" spans="1:7" ht="18.75" x14ac:dyDescent="0.3">
      <c r="A28" s="71"/>
      <c r="B28" s="54"/>
      <c r="C28" s="54"/>
      <c r="D28" s="54"/>
      <c r="E28" s="54"/>
      <c r="F28" s="54"/>
      <c r="G28" s="54"/>
    </row>
    <row r="29" spans="1:7" ht="15.75" x14ac:dyDescent="0.25">
      <c r="A29" s="53"/>
      <c r="B29" s="52"/>
      <c r="C29" s="52"/>
      <c r="D29" s="52"/>
      <c r="E29" s="52"/>
      <c r="F29" s="52"/>
      <c r="G29" s="52"/>
    </row>
    <row r="30" spans="1:7" ht="15.75" x14ac:dyDescent="0.25">
      <c r="A30" s="52" t="s">
        <v>119</v>
      </c>
      <c r="B30" s="52" t="str">
        <f>VLOOKUP($B$9,Payroll!B10:AC15,28,FALSE)</f>
        <v>ben@companyabc.com.sg</v>
      </c>
      <c r="C30" s="52"/>
      <c r="D30" s="52"/>
      <c r="E30" s="52"/>
      <c r="F30" s="52"/>
      <c r="G30" s="52"/>
    </row>
    <row r="35" spans="1:1" x14ac:dyDescent="0.25">
      <c r="A35" s="50"/>
    </row>
  </sheetData>
  <mergeCells count="2">
    <mergeCell ref="A1:G1"/>
    <mergeCell ref="A2:B2"/>
  </mergeCells>
  <pageMargins left="0.7" right="0.7" top="0.75" bottom="0.75" header="0.3" footer="0.3"/>
  <pageSetup paperSize="9" scale="9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rintSalarySlips">
                <anchor moveWithCells="1" sizeWithCells="1">
                  <from>
                    <xdr:col>7</xdr:col>
                    <xdr:colOff>285750</xdr:colOff>
                    <xdr:row>3</xdr:row>
                    <xdr:rowOff>85725</xdr:rowOff>
                  </from>
                  <to>
                    <xdr:col>10</xdr:col>
                    <xdr:colOff>133350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EmailAllSalarySlips">
                <anchor moveWithCells="1" sizeWithCells="1">
                  <from>
                    <xdr:col>7</xdr:col>
                    <xdr:colOff>276225</xdr:colOff>
                    <xdr:row>7</xdr:row>
                    <xdr:rowOff>161925</xdr:rowOff>
                  </from>
                  <to>
                    <xdr:col>10</xdr:col>
                    <xdr:colOff>123825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EmailIndividualPaySlip">
                <anchor moveWithCells="1" sizeWithCells="1">
                  <from>
                    <xdr:col>7</xdr:col>
                    <xdr:colOff>257175</xdr:colOff>
                    <xdr:row>11</xdr:row>
                    <xdr:rowOff>28575</xdr:rowOff>
                  </from>
                  <to>
                    <xdr:col>10</xdr:col>
                    <xdr:colOff>95250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"/>
  <sheetViews>
    <sheetView workbookViewId="0">
      <selection activeCell="A32" sqref="A32"/>
    </sheetView>
  </sheetViews>
  <sheetFormatPr defaultRowHeight="15" x14ac:dyDescent="0.25"/>
  <cols>
    <col min="1" max="2" width="20.7109375" customWidth="1"/>
    <col min="3" max="3" width="10.7109375" customWidth="1"/>
    <col min="4" max="5" width="20.7109375" customWidth="1"/>
    <col min="6" max="6" width="10.7109375" customWidth="1"/>
    <col min="7" max="8" width="20.7109375" customWidth="1"/>
    <col min="9" max="9" width="10.7109375" customWidth="1"/>
    <col min="10" max="11" width="20.7109375" customWidth="1"/>
  </cols>
  <sheetData>
    <row r="1" spans="1:11" x14ac:dyDescent="0.25">
      <c r="A1" s="30" t="s">
        <v>75</v>
      </c>
      <c r="B1" s="28"/>
      <c r="C1" s="31"/>
      <c r="D1" s="29"/>
      <c r="E1" s="14"/>
      <c r="F1" s="4"/>
      <c r="G1" s="5"/>
      <c r="H1" s="4"/>
      <c r="I1" s="4"/>
      <c r="J1" s="4"/>
      <c r="K1" s="4"/>
    </row>
    <row r="2" spans="1:11" x14ac:dyDescent="0.25">
      <c r="A2" s="32"/>
      <c r="B2" s="4"/>
      <c r="C2" s="33"/>
      <c r="D2" s="14"/>
      <c r="E2" s="14"/>
      <c r="F2" s="4"/>
      <c r="G2" s="5"/>
      <c r="H2" s="4"/>
      <c r="I2" s="4"/>
      <c r="J2" s="4"/>
      <c r="K2" s="4"/>
    </row>
    <row r="3" spans="1:11" x14ac:dyDescent="0.25">
      <c r="A3" s="7" t="s">
        <v>30</v>
      </c>
      <c r="B3" s="7"/>
      <c r="C3" s="21"/>
      <c r="D3" s="21" t="s">
        <v>36</v>
      </c>
      <c r="E3" s="21"/>
      <c r="F3" s="7"/>
      <c r="G3" s="7" t="s">
        <v>37</v>
      </c>
      <c r="H3" s="43"/>
      <c r="I3" s="43"/>
      <c r="J3" s="7" t="s">
        <v>38</v>
      </c>
      <c r="K3" s="43"/>
    </row>
    <row r="4" spans="1:11" x14ac:dyDescent="0.25">
      <c r="A4" s="180" t="s">
        <v>42</v>
      </c>
      <c r="B4" s="35" t="s">
        <v>43</v>
      </c>
      <c r="C4" s="14"/>
      <c r="D4" s="180" t="s">
        <v>42</v>
      </c>
      <c r="E4" s="35" t="s">
        <v>43</v>
      </c>
      <c r="F4" s="43"/>
      <c r="G4" s="180" t="s">
        <v>42</v>
      </c>
      <c r="H4" s="35" t="s">
        <v>57</v>
      </c>
      <c r="I4" s="43"/>
      <c r="J4" s="180" t="s">
        <v>68</v>
      </c>
      <c r="K4" s="35" t="s">
        <v>69</v>
      </c>
    </row>
    <row r="5" spans="1:11" ht="27.6" customHeight="1" x14ac:dyDescent="0.25">
      <c r="A5" s="180"/>
      <c r="B5" s="35" t="s">
        <v>44</v>
      </c>
      <c r="C5" s="14"/>
      <c r="D5" s="180"/>
      <c r="E5" s="35" t="s">
        <v>44</v>
      </c>
      <c r="F5" s="43"/>
      <c r="G5" s="180"/>
      <c r="H5" s="35" t="s">
        <v>58</v>
      </c>
      <c r="I5" s="43"/>
      <c r="J5" s="180"/>
      <c r="K5" s="35" t="s">
        <v>44</v>
      </c>
    </row>
    <row r="6" spans="1:11" x14ac:dyDescent="0.25">
      <c r="A6" s="36" t="s">
        <v>45</v>
      </c>
      <c r="B6" s="37">
        <v>0.5</v>
      </c>
      <c r="C6" s="14"/>
      <c r="D6" s="36" t="s">
        <v>50</v>
      </c>
      <c r="E6" s="37">
        <v>2</v>
      </c>
      <c r="F6" s="43"/>
      <c r="G6" s="36" t="s">
        <v>59</v>
      </c>
      <c r="H6" s="37">
        <v>3</v>
      </c>
      <c r="I6" s="43"/>
      <c r="J6" s="36" t="s">
        <v>50</v>
      </c>
      <c r="K6" s="37">
        <v>1</v>
      </c>
    </row>
    <row r="7" spans="1:11" x14ac:dyDescent="0.25">
      <c r="A7" s="38" t="s">
        <v>46</v>
      </c>
      <c r="B7" s="37">
        <v>1</v>
      </c>
      <c r="C7" s="14"/>
      <c r="D7" s="38" t="s">
        <v>51</v>
      </c>
      <c r="E7" s="37">
        <v>4</v>
      </c>
      <c r="F7" s="43"/>
      <c r="G7" s="38" t="s">
        <v>60</v>
      </c>
      <c r="H7" s="37">
        <v>4.5</v>
      </c>
      <c r="I7" s="43"/>
      <c r="J7" s="38" t="s">
        <v>51</v>
      </c>
      <c r="K7" s="37">
        <v>3</v>
      </c>
    </row>
    <row r="8" spans="1:11" x14ac:dyDescent="0.25">
      <c r="A8" s="38" t="s">
        <v>47</v>
      </c>
      <c r="B8" s="37">
        <v>1.5</v>
      </c>
      <c r="C8" s="14"/>
      <c r="D8" s="38" t="s">
        <v>52</v>
      </c>
      <c r="E8" s="37">
        <v>6</v>
      </c>
      <c r="F8" s="43"/>
      <c r="G8" s="38" t="s">
        <v>61</v>
      </c>
      <c r="H8" s="37">
        <v>6.5</v>
      </c>
      <c r="I8" s="43"/>
      <c r="J8" s="38" t="s">
        <v>52</v>
      </c>
      <c r="K8" s="37">
        <v>5</v>
      </c>
    </row>
    <row r="9" spans="1:11" x14ac:dyDescent="0.25">
      <c r="A9" s="38" t="s">
        <v>48</v>
      </c>
      <c r="B9" s="37">
        <v>2</v>
      </c>
      <c r="C9" s="14"/>
      <c r="D9" s="38" t="s">
        <v>53</v>
      </c>
      <c r="E9" s="37">
        <v>9</v>
      </c>
      <c r="F9" s="43"/>
      <c r="G9" s="38" t="s">
        <v>62</v>
      </c>
      <c r="H9" s="37">
        <v>15</v>
      </c>
      <c r="I9" s="43"/>
      <c r="J9" s="38" t="s">
        <v>70</v>
      </c>
      <c r="K9" s="37">
        <v>7</v>
      </c>
    </row>
    <row r="10" spans="1:11" x14ac:dyDescent="0.25">
      <c r="A10" s="38" t="s">
        <v>49</v>
      </c>
      <c r="B10" s="37">
        <v>3</v>
      </c>
      <c r="C10" s="14"/>
      <c r="D10" s="38" t="s">
        <v>54</v>
      </c>
      <c r="E10" s="37">
        <v>12</v>
      </c>
      <c r="F10" s="43"/>
      <c r="G10" s="38" t="s">
        <v>63</v>
      </c>
      <c r="H10" s="38" t="s">
        <v>64</v>
      </c>
      <c r="I10" s="43"/>
      <c r="J10" s="38" t="s">
        <v>71</v>
      </c>
      <c r="K10" s="37">
        <v>9</v>
      </c>
    </row>
    <row r="11" spans="1:11" x14ac:dyDescent="0.25">
      <c r="A11" s="43"/>
      <c r="B11" s="43"/>
      <c r="C11" s="14"/>
      <c r="D11" s="38" t="s">
        <v>55</v>
      </c>
      <c r="E11" s="37">
        <v>16</v>
      </c>
      <c r="F11" s="43"/>
      <c r="G11" s="38" t="s">
        <v>65</v>
      </c>
      <c r="H11" s="37">
        <v>22</v>
      </c>
      <c r="I11" s="43"/>
      <c r="J11" s="38" t="s">
        <v>72</v>
      </c>
      <c r="K11" s="37">
        <v>12</v>
      </c>
    </row>
    <row r="12" spans="1:11" x14ac:dyDescent="0.25">
      <c r="A12" s="43"/>
      <c r="B12" s="43"/>
      <c r="C12" s="14"/>
      <c r="D12" s="38" t="s">
        <v>56</v>
      </c>
      <c r="E12" s="37">
        <v>20</v>
      </c>
      <c r="F12" s="43"/>
      <c r="G12" s="38" t="s">
        <v>66</v>
      </c>
      <c r="H12" s="37">
        <v>24</v>
      </c>
      <c r="I12" s="43"/>
      <c r="J12" s="38" t="s">
        <v>73</v>
      </c>
      <c r="K12" s="37">
        <v>18</v>
      </c>
    </row>
    <row r="13" spans="1:11" x14ac:dyDescent="0.25">
      <c r="A13" s="43"/>
      <c r="B13" s="43"/>
      <c r="C13" s="14"/>
      <c r="D13" s="14"/>
      <c r="E13" s="14"/>
      <c r="F13" s="43"/>
      <c r="G13" s="38" t="s">
        <v>67</v>
      </c>
      <c r="H13" s="37">
        <v>26</v>
      </c>
      <c r="I13" s="43"/>
      <c r="J13" s="38" t="s">
        <v>74</v>
      </c>
      <c r="K13" s="37">
        <v>30</v>
      </c>
    </row>
  </sheetData>
  <mergeCells count="4">
    <mergeCell ref="A4:A5"/>
    <mergeCell ref="D4:D5"/>
    <mergeCell ref="G4:G5"/>
    <mergeCell ref="J4:J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topLeftCell="A2" workbookViewId="0">
      <selection activeCell="I16" sqref="I16"/>
    </sheetView>
  </sheetViews>
  <sheetFormatPr defaultRowHeight="15" x14ac:dyDescent="0.25"/>
  <cols>
    <col min="1" max="1" width="27.28515625" bestFit="1" customWidth="1"/>
    <col min="2" max="2" width="9.140625" style="134"/>
  </cols>
  <sheetData>
    <row r="1" spans="1:2" x14ac:dyDescent="0.25">
      <c r="A1" t="s">
        <v>120</v>
      </c>
      <c r="B1" s="134" t="str">
        <f>Payslip!B6</f>
        <v>Ben</v>
      </c>
    </row>
    <row r="2" spans="1:2" x14ac:dyDescent="0.25">
      <c r="A2" t="s">
        <v>85</v>
      </c>
      <c r="B2" s="134" t="str">
        <f>Payslip!B9</f>
        <v>AA02</v>
      </c>
    </row>
    <row r="3" spans="1:2" x14ac:dyDescent="0.25">
      <c r="A3" t="s">
        <v>119</v>
      </c>
      <c r="B3" s="134" t="str">
        <f>Payslip!B30</f>
        <v>ben@companyabc.com.sg</v>
      </c>
    </row>
    <row r="4" spans="1:2" x14ac:dyDescent="0.25">
      <c r="A4" t="s">
        <v>121</v>
      </c>
      <c r="B4" s="135">
        <f>Payroll!E6</f>
        <v>42736</v>
      </c>
    </row>
    <row r="5" spans="1:2" x14ac:dyDescent="0.25">
      <c r="A5" t="s">
        <v>122</v>
      </c>
      <c r="B5" s="134" t="str">
        <f>TEXT(B4,"MMMM YYYY")</f>
        <v>January 2017</v>
      </c>
    </row>
    <row r="6" spans="1:2" x14ac:dyDescent="0.25">
      <c r="A6" t="s">
        <v>124</v>
      </c>
      <c r="B6" s="134" t="str">
        <f>Payslip!B30</f>
        <v>ben@companyabc.com.sg</v>
      </c>
    </row>
    <row r="7" spans="1:2" x14ac:dyDescent="0.25">
      <c r="A7" t="s">
        <v>125</v>
      </c>
      <c r="B7" s="134">
        <v>6</v>
      </c>
    </row>
    <row r="8" spans="1:2" x14ac:dyDescent="0.25">
      <c r="A8" t="s">
        <v>145</v>
      </c>
      <c r="B8" s="134" t="s">
        <v>126</v>
      </c>
    </row>
    <row r="10" spans="1:2" x14ac:dyDescent="0.25">
      <c r="A10" t="s">
        <v>123</v>
      </c>
      <c r="B10" s="136" t="s">
        <v>133</v>
      </c>
    </row>
    <row r="13" spans="1:2" ht="14.25" customHeight="1" x14ac:dyDescent="0.25">
      <c r="B13" s="136"/>
    </row>
  </sheetData>
  <hyperlinks>
    <hyperlink ref="B10:B13" r:id="rId1" display="alex@companyabc.com.sg"/>
  </hyperlinks>
  <pageMargins left="0.7" right="0.7" top="0.75" bottom="0.75" header="0.3" footer="0.3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Payroll</vt:lpstr>
      <vt:lpstr>Payslip</vt:lpstr>
      <vt:lpstr>Contribution to SHGs</vt:lpstr>
      <vt:lpstr>Parameters</vt:lpstr>
      <vt:lpstr>Payroll!Print_Area</vt:lpstr>
      <vt:lpstr>Payslip!Print_Area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2018-01-08T15:26:54Z</cp:lastPrinted>
  <dcterms:created xsi:type="dcterms:W3CDTF">2016-09-20T09:28:26Z</dcterms:created>
  <dcterms:modified xsi:type="dcterms:W3CDTF">2018-01-08T15:42:30Z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40833f37-b211-44ea-b97b-82f42087a34e</vt:lpwstr>
  </property>
</Properties>
</file>